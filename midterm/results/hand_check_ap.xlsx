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8800" windowHeight="8400" activeTab="2"/>
  </bookViews>
  <sheets>
    <sheet name="raw_join_example" sheetId="1" r:id="rId1"/>
    <sheet name="val_airings" sheetId="2" r:id="rId2"/>
    <sheet name="AP@5" sheetId="3" r:id="rId3"/>
    <sheet name="h1_score" sheetId="4" r:id="rId4"/>
  </sheets>
  <calcPr calcId="162913"/>
</workbook>
</file>

<file path=xl/calcChain.xml><?xml version="1.0" encoding="utf-8"?>
<calcChain xmlns="http://schemas.openxmlformats.org/spreadsheetml/2006/main">
  <c r="G242" i="4" l="1"/>
  <c r="F242" i="4"/>
  <c r="H242" i="4" s="1"/>
  <c r="G241" i="4"/>
  <c r="F241" i="4"/>
  <c r="H241" i="4" s="1"/>
  <c r="G240" i="4"/>
  <c r="H240" i="4" s="1"/>
  <c r="F240" i="4"/>
  <c r="H239" i="4"/>
  <c r="G239" i="4"/>
  <c r="F239" i="4"/>
  <c r="H238" i="4"/>
  <c r="G238" i="4"/>
  <c r="F238" i="4"/>
  <c r="G237" i="4"/>
  <c r="F237" i="4"/>
  <c r="H237" i="4" s="1"/>
  <c r="G236" i="4"/>
  <c r="F236" i="4"/>
  <c r="H236" i="4" s="1"/>
  <c r="G235" i="4"/>
  <c r="F235" i="4"/>
  <c r="H235" i="4" s="1"/>
  <c r="G234" i="4"/>
  <c r="F234" i="4"/>
  <c r="H234" i="4" s="1"/>
  <c r="G233" i="4"/>
  <c r="F233" i="4"/>
  <c r="H233" i="4" s="1"/>
  <c r="G232" i="4"/>
  <c r="F232" i="4"/>
  <c r="H232" i="4" s="1"/>
  <c r="H231" i="4"/>
  <c r="G231" i="4"/>
  <c r="F231" i="4"/>
  <c r="H230" i="4"/>
  <c r="G230" i="4"/>
  <c r="F230" i="4"/>
  <c r="G229" i="4"/>
  <c r="F229" i="4"/>
  <c r="H229" i="4" s="1"/>
  <c r="G228" i="4"/>
  <c r="F228" i="4"/>
  <c r="H228" i="4" s="1"/>
  <c r="G227" i="4"/>
  <c r="F227" i="4"/>
  <c r="H227" i="4" s="1"/>
  <c r="G226" i="4"/>
  <c r="F226" i="4"/>
  <c r="H226" i="4" s="1"/>
  <c r="G225" i="4"/>
  <c r="F225" i="4"/>
  <c r="H225" i="4" s="1"/>
  <c r="G224" i="4"/>
  <c r="F224" i="4"/>
  <c r="H224" i="4" s="1"/>
  <c r="H223" i="4"/>
  <c r="G223" i="4"/>
  <c r="F223" i="4"/>
  <c r="H222" i="4"/>
  <c r="G222" i="4"/>
  <c r="F222" i="4"/>
  <c r="G221" i="4"/>
  <c r="F221" i="4"/>
  <c r="H221" i="4" s="1"/>
  <c r="G220" i="4"/>
  <c r="F220" i="4"/>
  <c r="H220" i="4" s="1"/>
  <c r="G219" i="4"/>
  <c r="F219" i="4"/>
  <c r="H219" i="4" s="1"/>
  <c r="G218" i="4"/>
  <c r="F218" i="4"/>
  <c r="H218" i="4" s="1"/>
  <c r="G217" i="4"/>
  <c r="F217" i="4"/>
  <c r="H217" i="4" s="1"/>
  <c r="G216" i="4"/>
  <c r="F216" i="4"/>
  <c r="H216" i="4" s="1"/>
  <c r="H215" i="4"/>
  <c r="G215" i="4"/>
  <c r="F215" i="4"/>
  <c r="H214" i="4"/>
  <c r="G214" i="4"/>
  <c r="F214" i="4"/>
  <c r="G213" i="4"/>
  <c r="F213" i="4"/>
  <c r="H213" i="4" s="1"/>
  <c r="G212" i="4"/>
  <c r="F212" i="4"/>
  <c r="H212" i="4" s="1"/>
  <c r="G211" i="4"/>
  <c r="F211" i="4"/>
  <c r="H211" i="4" s="1"/>
  <c r="G210" i="4"/>
  <c r="F210" i="4"/>
  <c r="H210" i="4" s="1"/>
  <c r="G209" i="4"/>
  <c r="F209" i="4"/>
  <c r="H209" i="4" s="1"/>
  <c r="G208" i="4"/>
  <c r="F208" i="4"/>
  <c r="H208" i="4" s="1"/>
  <c r="H207" i="4"/>
  <c r="G207" i="4"/>
  <c r="F207" i="4"/>
  <c r="H206" i="4"/>
  <c r="G206" i="4"/>
  <c r="F206" i="4"/>
  <c r="G205" i="4"/>
  <c r="F205" i="4"/>
  <c r="H205" i="4" s="1"/>
  <c r="G204" i="4"/>
  <c r="F204" i="4"/>
  <c r="H204" i="4" s="1"/>
  <c r="G203" i="4"/>
  <c r="F203" i="4"/>
  <c r="H203" i="4" s="1"/>
  <c r="G202" i="4"/>
  <c r="F202" i="4"/>
  <c r="H202" i="4" s="1"/>
  <c r="G201" i="4"/>
  <c r="F201" i="4"/>
  <c r="H201" i="4" s="1"/>
  <c r="G200" i="4"/>
  <c r="F200" i="4"/>
  <c r="H200" i="4" s="1"/>
  <c r="H199" i="4"/>
  <c r="G199" i="4"/>
  <c r="F199" i="4"/>
  <c r="H198" i="4"/>
  <c r="G198" i="4"/>
  <c r="F198" i="4"/>
  <c r="G197" i="4"/>
  <c r="F197" i="4"/>
  <c r="H197" i="4" s="1"/>
  <c r="G196" i="4"/>
  <c r="F196" i="4"/>
  <c r="H196" i="4" s="1"/>
  <c r="G195" i="4"/>
  <c r="F195" i="4"/>
  <c r="H195" i="4" s="1"/>
  <c r="G194" i="4"/>
  <c r="F194" i="4"/>
  <c r="H194" i="4" s="1"/>
  <c r="G193" i="4"/>
  <c r="F193" i="4"/>
  <c r="H193" i="4" s="1"/>
  <c r="G192" i="4"/>
  <c r="F192" i="4"/>
  <c r="H192" i="4" s="1"/>
  <c r="H191" i="4"/>
  <c r="G191" i="4"/>
  <c r="F191" i="4"/>
  <c r="H190" i="4"/>
  <c r="G190" i="4"/>
  <c r="F190" i="4"/>
  <c r="G189" i="4"/>
  <c r="F189" i="4"/>
  <c r="H189" i="4" s="1"/>
  <c r="G188" i="4"/>
  <c r="F188" i="4"/>
  <c r="H188" i="4" s="1"/>
  <c r="G187" i="4"/>
  <c r="F187" i="4"/>
  <c r="H187" i="4" s="1"/>
  <c r="G186" i="4"/>
  <c r="F186" i="4"/>
  <c r="H186" i="4" s="1"/>
  <c r="G185" i="4"/>
  <c r="F185" i="4"/>
  <c r="H185" i="4" s="1"/>
  <c r="G184" i="4"/>
  <c r="F184" i="4"/>
  <c r="H184" i="4" s="1"/>
  <c r="H183" i="4"/>
  <c r="G183" i="4"/>
  <c r="F183" i="4"/>
  <c r="H182" i="4"/>
  <c r="G182" i="4"/>
  <c r="F182" i="4"/>
  <c r="G181" i="4"/>
  <c r="F181" i="4"/>
  <c r="H181" i="4" s="1"/>
  <c r="G180" i="4"/>
  <c r="F180" i="4"/>
  <c r="H180" i="4" s="1"/>
  <c r="G179" i="4"/>
  <c r="F179" i="4"/>
  <c r="H179" i="4" s="1"/>
  <c r="G178" i="4"/>
  <c r="F178" i="4"/>
  <c r="H178" i="4" s="1"/>
  <c r="G177" i="4"/>
  <c r="H177" i="4" s="1"/>
  <c r="F177" i="4"/>
  <c r="G176" i="4"/>
  <c r="F176" i="4"/>
  <c r="H176" i="4" s="1"/>
  <c r="H175" i="4"/>
  <c r="G175" i="4"/>
  <c r="F175" i="4"/>
  <c r="H174" i="4"/>
  <c r="G174" i="4"/>
  <c r="F174" i="4"/>
  <c r="G173" i="4"/>
  <c r="F173" i="4"/>
  <c r="H173" i="4" s="1"/>
  <c r="G172" i="4"/>
  <c r="F172" i="4"/>
  <c r="H172" i="4" s="1"/>
  <c r="G171" i="4"/>
  <c r="F171" i="4"/>
  <c r="H171" i="4" s="1"/>
  <c r="G170" i="4"/>
  <c r="F170" i="4"/>
  <c r="H170" i="4" s="1"/>
  <c r="G169" i="4"/>
  <c r="H169" i="4" s="1"/>
  <c r="F169" i="4"/>
  <c r="G168" i="4"/>
  <c r="F168" i="4"/>
  <c r="H168" i="4" s="1"/>
  <c r="H167" i="4"/>
  <c r="G167" i="4"/>
  <c r="F167" i="4"/>
  <c r="H166" i="4"/>
  <c r="G166" i="4"/>
  <c r="F166" i="4"/>
  <c r="G165" i="4"/>
  <c r="F165" i="4"/>
  <c r="H165" i="4" s="1"/>
  <c r="G164" i="4"/>
  <c r="F164" i="4"/>
  <c r="H164" i="4" s="1"/>
  <c r="G163" i="4"/>
  <c r="F163" i="4"/>
  <c r="H163" i="4" s="1"/>
  <c r="G162" i="4"/>
  <c r="F162" i="4"/>
  <c r="H162" i="4" s="1"/>
  <c r="G161" i="4"/>
  <c r="H161" i="4" s="1"/>
  <c r="F161" i="4"/>
  <c r="G160" i="4"/>
  <c r="F160" i="4"/>
  <c r="H160" i="4" s="1"/>
  <c r="H159" i="4"/>
  <c r="G159" i="4"/>
  <c r="F159" i="4"/>
  <c r="H158" i="4"/>
  <c r="G158" i="4"/>
  <c r="F158" i="4"/>
  <c r="G157" i="4"/>
  <c r="F157" i="4"/>
  <c r="H157" i="4" s="1"/>
  <c r="G156" i="4"/>
  <c r="F156" i="4"/>
  <c r="H156" i="4" s="1"/>
  <c r="G155" i="4"/>
  <c r="F155" i="4"/>
  <c r="H155" i="4" s="1"/>
  <c r="G154" i="4"/>
  <c r="F154" i="4"/>
  <c r="H154" i="4" s="1"/>
  <c r="G153" i="4"/>
  <c r="H153" i="4" s="1"/>
  <c r="F153" i="4"/>
  <c r="G152" i="4"/>
  <c r="F152" i="4"/>
  <c r="H152" i="4" s="1"/>
  <c r="H151" i="4"/>
  <c r="G151" i="4"/>
  <c r="F151" i="4"/>
  <c r="H150" i="4"/>
  <c r="G150" i="4"/>
  <c r="F150" i="4"/>
  <c r="G149" i="4"/>
  <c r="F149" i="4"/>
  <c r="H149" i="4" s="1"/>
  <c r="G148" i="4"/>
  <c r="F148" i="4"/>
  <c r="H148" i="4" s="1"/>
  <c r="G147" i="4"/>
  <c r="F147" i="4"/>
  <c r="H147" i="4" s="1"/>
  <c r="G146" i="4"/>
  <c r="F146" i="4"/>
  <c r="H146" i="4" s="1"/>
  <c r="G145" i="4"/>
  <c r="H145" i="4" s="1"/>
  <c r="F145" i="4"/>
  <c r="G144" i="4"/>
  <c r="F144" i="4"/>
  <c r="H144" i="4" s="1"/>
  <c r="K5" i="4" s="1"/>
  <c r="M5" i="4" s="1"/>
  <c r="H143" i="4"/>
  <c r="G143" i="4"/>
  <c r="F143" i="4"/>
  <c r="H142" i="4"/>
  <c r="G142" i="4"/>
  <c r="F142" i="4"/>
  <c r="G141" i="4"/>
  <c r="F141" i="4"/>
  <c r="H141" i="4" s="1"/>
  <c r="G140" i="4"/>
  <c r="F140" i="4"/>
  <c r="H140" i="4" s="1"/>
  <c r="G139" i="4"/>
  <c r="F139" i="4"/>
  <c r="H139" i="4" s="1"/>
  <c r="G138" i="4"/>
  <c r="F138" i="4"/>
  <c r="H138" i="4" s="1"/>
  <c r="G137" i="4"/>
  <c r="H137" i="4" s="1"/>
  <c r="F137" i="4"/>
  <c r="G136" i="4"/>
  <c r="F136" i="4"/>
  <c r="H136" i="4" s="1"/>
  <c r="H135" i="4"/>
  <c r="G135" i="4"/>
  <c r="F135" i="4"/>
  <c r="H134" i="4"/>
  <c r="G134" i="4"/>
  <c r="F134" i="4"/>
  <c r="G133" i="4"/>
  <c r="F133" i="4"/>
  <c r="H133" i="4" s="1"/>
  <c r="G132" i="4"/>
  <c r="F132" i="4"/>
  <c r="H132" i="4" s="1"/>
  <c r="G131" i="4"/>
  <c r="F131" i="4"/>
  <c r="H131" i="4" s="1"/>
  <c r="G130" i="4"/>
  <c r="F130" i="4"/>
  <c r="H130" i="4" s="1"/>
  <c r="G129" i="4"/>
  <c r="F129" i="4"/>
  <c r="H129" i="4" s="1"/>
  <c r="G128" i="4"/>
  <c r="F128" i="4"/>
  <c r="H128" i="4" s="1"/>
  <c r="H127" i="4"/>
  <c r="G127" i="4"/>
  <c r="F127" i="4"/>
  <c r="H126" i="4"/>
  <c r="G126" i="4"/>
  <c r="F126" i="4"/>
  <c r="G125" i="4"/>
  <c r="F125" i="4"/>
  <c r="H125" i="4" s="1"/>
  <c r="G124" i="4"/>
  <c r="F124" i="4"/>
  <c r="H124" i="4" s="1"/>
  <c r="G123" i="4"/>
  <c r="F123" i="4"/>
  <c r="H123" i="4" s="1"/>
  <c r="G122" i="4"/>
  <c r="F122" i="4"/>
  <c r="H122" i="4" s="1"/>
  <c r="G121" i="4"/>
  <c r="F121" i="4"/>
  <c r="H121" i="4" s="1"/>
  <c r="G120" i="4"/>
  <c r="F120" i="4"/>
  <c r="H120" i="4" s="1"/>
  <c r="H119" i="4"/>
  <c r="G119" i="4"/>
  <c r="F119" i="4"/>
  <c r="H118" i="4"/>
  <c r="G118" i="4"/>
  <c r="F118" i="4"/>
  <c r="G117" i="4"/>
  <c r="F117" i="4"/>
  <c r="H117" i="4" s="1"/>
  <c r="G116" i="4"/>
  <c r="F116" i="4"/>
  <c r="H116" i="4" s="1"/>
  <c r="G115" i="4"/>
  <c r="F115" i="4"/>
  <c r="H115" i="4" s="1"/>
  <c r="K4" i="4" s="1"/>
  <c r="M4" i="4" s="1"/>
  <c r="G114" i="4"/>
  <c r="F114" i="4"/>
  <c r="H114" i="4" s="1"/>
  <c r="G113" i="4"/>
  <c r="H113" i="4" s="1"/>
  <c r="F113" i="4"/>
  <c r="G112" i="4"/>
  <c r="F112" i="4"/>
  <c r="H112" i="4" s="1"/>
  <c r="H111" i="4"/>
  <c r="G111" i="4"/>
  <c r="F111" i="4"/>
  <c r="H110" i="4"/>
  <c r="G110" i="4"/>
  <c r="F110" i="4"/>
  <c r="G109" i="4"/>
  <c r="F109" i="4"/>
  <c r="H109" i="4" s="1"/>
  <c r="G108" i="4"/>
  <c r="F108" i="4"/>
  <c r="H108" i="4" s="1"/>
  <c r="G107" i="4"/>
  <c r="F107" i="4"/>
  <c r="H107" i="4" s="1"/>
  <c r="G106" i="4"/>
  <c r="F106" i="4"/>
  <c r="H106" i="4" s="1"/>
  <c r="G105" i="4"/>
  <c r="H105" i="4" s="1"/>
  <c r="F105" i="4"/>
  <c r="G104" i="4"/>
  <c r="F104" i="4"/>
  <c r="H104" i="4" s="1"/>
  <c r="H103" i="4"/>
  <c r="G103" i="4"/>
  <c r="F103" i="4"/>
  <c r="H102" i="4"/>
  <c r="G102" i="4"/>
  <c r="F102" i="4"/>
  <c r="G101" i="4"/>
  <c r="F101" i="4"/>
  <c r="H101" i="4" s="1"/>
  <c r="G100" i="4"/>
  <c r="F100" i="4"/>
  <c r="H100" i="4" s="1"/>
  <c r="G99" i="4"/>
  <c r="F99" i="4"/>
  <c r="H99" i="4" s="1"/>
  <c r="G98" i="4"/>
  <c r="F98" i="4"/>
  <c r="H98" i="4" s="1"/>
  <c r="G97" i="4"/>
  <c r="H97" i="4" s="1"/>
  <c r="F97" i="4"/>
  <c r="G96" i="4"/>
  <c r="F96" i="4"/>
  <c r="H96" i="4" s="1"/>
  <c r="H95" i="4"/>
  <c r="G95" i="4"/>
  <c r="F95" i="4"/>
  <c r="H94" i="4"/>
  <c r="G94" i="4"/>
  <c r="F94" i="4"/>
  <c r="G93" i="4"/>
  <c r="F93" i="4"/>
  <c r="H93" i="4" s="1"/>
  <c r="G92" i="4"/>
  <c r="F92" i="4"/>
  <c r="H92" i="4" s="1"/>
  <c r="G91" i="4"/>
  <c r="F91" i="4"/>
  <c r="H91" i="4" s="1"/>
  <c r="G90" i="4"/>
  <c r="F90" i="4"/>
  <c r="H90" i="4" s="1"/>
  <c r="G89" i="4"/>
  <c r="H89" i="4" s="1"/>
  <c r="F89" i="4"/>
  <c r="G88" i="4"/>
  <c r="F88" i="4"/>
  <c r="H88" i="4" s="1"/>
  <c r="H87" i="4"/>
  <c r="G87" i="4"/>
  <c r="F87" i="4"/>
  <c r="H86" i="4"/>
  <c r="G86" i="4"/>
  <c r="F86" i="4"/>
  <c r="G85" i="4"/>
  <c r="F85" i="4"/>
  <c r="H85" i="4" s="1"/>
  <c r="G84" i="4"/>
  <c r="F84" i="4"/>
  <c r="H84" i="4" s="1"/>
  <c r="G83" i="4"/>
  <c r="F83" i="4"/>
  <c r="H83" i="4" s="1"/>
  <c r="G82" i="4"/>
  <c r="F82" i="4"/>
  <c r="H82" i="4" s="1"/>
  <c r="G81" i="4"/>
  <c r="H81" i="4" s="1"/>
  <c r="F81" i="4"/>
  <c r="G80" i="4"/>
  <c r="F80" i="4"/>
  <c r="H80" i="4" s="1"/>
  <c r="H79" i="4"/>
  <c r="G79" i="4"/>
  <c r="F79" i="4"/>
  <c r="H78" i="4"/>
  <c r="G78" i="4"/>
  <c r="F78" i="4"/>
  <c r="G77" i="4"/>
  <c r="F77" i="4"/>
  <c r="H77" i="4" s="1"/>
  <c r="G76" i="4"/>
  <c r="F76" i="4"/>
  <c r="H76" i="4" s="1"/>
  <c r="G75" i="4"/>
  <c r="F75" i="4"/>
  <c r="H75" i="4" s="1"/>
  <c r="G74" i="4"/>
  <c r="H74" i="4" s="1"/>
  <c r="F74" i="4"/>
  <c r="G73" i="4"/>
  <c r="H73" i="4" s="1"/>
  <c r="F73" i="4"/>
  <c r="G72" i="4"/>
  <c r="F72" i="4"/>
  <c r="H72" i="4" s="1"/>
  <c r="K3" i="4" s="1"/>
  <c r="M3" i="4" s="1"/>
  <c r="H71" i="4"/>
  <c r="G71" i="4"/>
  <c r="F71" i="4"/>
  <c r="H70" i="4"/>
  <c r="G70" i="4"/>
  <c r="F70" i="4"/>
  <c r="G69" i="4"/>
  <c r="F69" i="4"/>
  <c r="H69" i="4" s="1"/>
  <c r="G68" i="4"/>
  <c r="F68" i="4"/>
  <c r="H68" i="4" s="1"/>
  <c r="G67" i="4"/>
  <c r="F67" i="4"/>
  <c r="H67" i="4" s="1"/>
  <c r="G66" i="4"/>
  <c r="H66" i="4" s="1"/>
  <c r="F66" i="4"/>
  <c r="G65" i="4"/>
  <c r="H65" i="4" s="1"/>
  <c r="F65" i="4"/>
  <c r="G64" i="4"/>
  <c r="F64" i="4"/>
  <c r="H64" i="4" s="1"/>
  <c r="H63" i="4"/>
  <c r="G63" i="4"/>
  <c r="F63" i="4"/>
  <c r="H62" i="4"/>
  <c r="G62" i="4"/>
  <c r="F62" i="4"/>
  <c r="G61" i="4"/>
  <c r="F61" i="4"/>
  <c r="H61" i="4" s="1"/>
  <c r="G60" i="4"/>
  <c r="F60" i="4"/>
  <c r="H60" i="4" s="1"/>
  <c r="G59" i="4"/>
  <c r="F59" i="4"/>
  <c r="H59" i="4" s="1"/>
  <c r="G58" i="4"/>
  <c r="H58" i="4" s="1"/>
  <c r="F58" i="4"/>
  <c r="G57" i="4"/>
  <c r="H57" i="4" s="1"/>
  <c r="F57" i="4"/>
  <c r="G56" i="4"/>
  <c r="F56" i="4"/>
  <c r="H56" i="4" s="1"/>
  <c r="H55" i="4"/>
  <c r="G55" i="4"/>
  <c r="F55" i="4"/>
  <c r="H54" i="4"/>
  <c r="G54" i="4"/>
  <c r="F54" i="4"/>
  <c r="G53" i="4"/>
  <c r="F53" i="4"/>
  <c r="H53" i="4" s="1"/>
  <c r="G52" i="4"/>
  <c r="F52" i="4"/>
  <c r="H52" i="4" s="1"/>
  <c r="G51" i="4"/>
  <c r="F51" i="4"/>
  <c r="H51" i="4" s="1"/>
  <c r="G50" i="4"/>
  <c r="H50" i="4" s="1"/>
  <c r="F50" i="4"/>
  <c r="G49" i="4"/>
  <c r="H49" i="4" s="1"/>
  <c r="F49" i="4"/>
  <c r="G48" i="4"/>
  <c r="F48" i="4"/>
  <c r="H48" i="4" s="1"/>
  <c r="H47" i="4"/>
  <c r="G47" i="4"/>
  <c r="F47" i="4"/>
  <c r="H46" i="4"/>
  <c r="G46" i="4"/>
  <c r="F46" i="4"/>
  <c r="G45" i="4"/>
  <c r="F45" i="4"/>
  <c r="H45" i="4" s="1"/>
  <c r="G44" i="4"/>
  <c r="F44" i="4"/>
  <c r="H44" i="4" s="1"/>
  <c r="G43" i="4"/>
  <c r="F43" i="4"/>
  <c r="H43" i="4" s="1"/>
  <c r="G42" i="4"/>
  <c r="H42" i="4" s="1"/>
  <c r="F42" i="4"/>
  <c r="G41" i="4"/>
  <c r="F41" i="4"/>
  <c r="H41" i="4" s="1"/>
  <c r="G40" i="4"/>
  <c r="F40" i="4"/>
  <c r="H40" i="4" s="1"/>
  <c r="H39" i="4"/>
  <c r="G39" i="4"/>
  <c r="F39" i="4"/>
  <c r="H38" i="4"/>
  <c r="G38" i="4"/>
  <c r="F38" i="4"/>
  <c r="G37" i="4"/>
  <c r="F37" i="4"/>
  <c r="H37" i="4" s="1"/>
  <c r="G36" i="4"/>
  <c r="F36" i="4"/>
  <c r="H36" i="4" s="1"/>
  <c r="G35" i="4"/>
  <c r="F35" i="4"/>
  <c r="H35" i="4" s="1"/>
  <c r="G34" i="4"/>
  <c r="F34" i="4"/>
  <c r="H34" i="4" s="1"/>
  <c r="G33" i="4"/>
  <c r="F33" i="4"/>
  <c r="H33" i="4" s="1"/>
  <c r="G32" i="4"/>
  <c r="F32" i="4"/>
  <c r="H32" i="4" s="1"/>
  <c r="H31" i="4"/>
  <c r="G31" i="4"/>
  <c r="F31" i="4"/>
  <c r="H30" i="4"/>
  <c r="G30" i="4"/>
  <c r="F30" i="4"/>
  <c r="G29" i="4"/>
  <c r="F29" i="4"/>
  <c r="H29" i="4" s="1"/>
  <c r="G28" i="4"/>
  <c r="F28" i="4"/>
  <c r="H28" i="4" s="1"/>
  <c r="G27" i="4"/>
  <c r="F27" i="4"/>
  <c r="H27" i="4" s="1"/>
  <c r="G26" i="4"/>
  <c r="F26" i="4"/>
  <c r="H26" i="4" s="1"/>
  <c r="G25" i="4"/>
  <c r="F25" i="4"/>
  <c r="H25" i="4" s="1"/>
  <c r="G24" i="4"/>
  <c r="F24" i="4"/>
  <c r="H24" i="4" s="1"/>
  <c r="H23" i="4"/>
  <c r="G23" i="4"/>
  <c r="F23" i="4"/>
  <c r="H22" i="4"/>
  <c r="G22" i="4"/>
  <c r="F22" i="4"/>
  <c r="G21" i="4"/>
  <c r="F21" i="4"/>
  <c r="H21" i="4" s="1"/>
  <c r="G20" i="4"/>
  <c r="F20" i="4"/>
  <c r="H20" i="4" s="1"/>
  <c r="G19" i="4"/>
  <c r="F19" i="4"/>
  <c r="H19" i="4" s="1"/>
  <c r="G18" i="4"/>
  <c r="F18" i="4"/>
  <c r="H18" i="4" s="1"/>
  <c r="G17" i="4"/>
  <c r="F17" i="4"/>
  <c r="H17" i="4" s="1"/>
  <c r="G16" i="4"/>
  <c r="F16" i="4"/>
  <c r="H16" i="4" s="1"/>
  <c r="H15" i="4"/>
  <c r="G15" i="4"/>
  <c r="F15" i="4"/>
  <c r="H14" i="4"/>
  <c r="G14" i="4"/>
  <c r="F14" i="4"/>
  <c r="G13" i="4"/>
  <c r="F13" i="4"/>
  <c r="H13" i="4" s="1"/>
  <c r="G12" i="4"/>
  <c r="F12" i="4"/>
  <c r="H12" i="4" s="1"/>
  <c r="G11" i="4"/>
  <c r="H11" i="4" s="1"/>
  <c r="F11" i="4"/>
  <c r="G10" i="4"/>
  <c r="F10" i="4"/>
  <c r="H10" i="4" s="1"/>
  <c r="G9" i="4"/>
  <c r="F9" i="4"/>
  <c r="H9" i="4" s="1"/>
  <c r="G8" i="4"/>
  <c r="F8" i="4"/>
  <c r="H8" i="4" s="1"/>
  <c r="H7" i="4"/>
  <c r="G7" i="4"/>
  <c r="F7" i="4"/>
  <c r="G6" i="4"/>
  <c r="F6" i="4"/>
  <c r="H6" i="4" s="1"/>
  <c r="G5" i="4"/>
  <c r="F5" i="4"/>
  <c r="H5" i="4" s="1"/>
  <c r="G4" i="4"/>
  <c r="F4" i="4"/>
  <c r="H4" i="4" s="1"/>
  <c r="G3" i="4"/>
  <c r="H3" i="4" s="1"/>
  <c r="F3" i="4"/>
  <c r="G2" i="4"/>
  <c r="F2" i="4"/>
  <c r="H2" i="4" s="1"/>
  <c r="E6" i="3"/>
  <c r="F6" i="3" s="1"/>
  <c r="H6" i="3" s="1"/>
  <c r="E5" i="3"/>
  <c r="F5" i="3" s="1"/>
  <c r="E4" i="3"/>
  <c r="F4" i="3" s="1"/>
  <c r="E3" i="3"/>
  <c r="F3" i="3" s="1"/>
  <c r="H3" i="3" s="1"/>
  <c r="E2" i="3"/>
  <c r="F2" i="3" s="1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L6" i="3" s="1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D5" i="3" s="1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L3" i="3" s="1"/>
  <c r="G11" i="2"/>
  <c r="H10" i="2"/>
  <c r="G10" i="2"/>
  <c r="H9" i="2"/>
  <c r="D3" i="3" s="1"/>
  <c r="G9" i="2"/>
  <c r="H8" i="2"/>
  <c r="D6" i="3" s="1"/>
  <c r="G8" i="2"/>
  <c r="H7" i="2"/>
  <c r="D2" i="3" s="1"/>
  <c r="G7" i="2"/>
  <c r="H6" i="2"/>
  <c r="L4" i="3" s="1"/>
  <c r="G6" i="2"/>
  <c r="H5" i="2"/>
  <c r="G5" i="2"/>
  <c r="H4" i="2"/>
  <c r="G4" i="2"/>
  <c r="H3" i="2"/>
  <c r="G3" i="2"/>
  <c r="H2" i="2"/>
  <c r="G2" i="2"/>
  <c r="E7" i="1"/>
  <c r="B9" i="1" s="1"/>
  <c r="D9" i="1" s="1"/>
  <c r="D3" i="1"/>
  <c r="K6" i="4" l="1"/>
  <c r="M6" i="4" s="1"/>
  <c r="N6" i="4" s="1"/>
  <c r="K2" i="4"/>
  <c r="M2" i="4" s="1"/>
  <c r="N5" i="4" s="1"/>
  <c r="G6" i="3"/>
  <c r="G3" i="3"/>
  <c r="G4" i="3"/>
  <c r="H4" i="3" s="1"/>
  <c r="G5" i="3"/>
  <c r="H5" i="3" s="1"/>
  <c r="H2" i="3"/>
  <c r="G2" i="3"/>
  <c r="K7" i="4"/>
  <c r="M7" i="4" s="1"/>
  <c r="D4" i="3"/>
  <c r="L2" i="3"/>
  <c r="L5" i="3"/>
  <c r="N3" i="4" l="1"/>
  <c r="H8" i="3"/>
  <c r="N2" i="4"/>
  <c r="N7" i="4"/>
  <c r="N4" i="4"/>
</calcChain>
</file>

<file path=xl/sharedStrings.xml><?xml version="1.0" encoding="utf-8"?>
<sst xmlns="http://schemas.openxmlformats.org/spreadsheetml/2006/main" count="717" uniqueCount="347">
  <si>
    <t>Step 1: one airing of "Fakty. Den" (tv_show_id 240081) from export_arh_21-30-final.csv</t>
  </si>
  <si>
    <t>channel_id</t>
  </si>
  <si>
    <t>start_time</t>
  </si>
  <si>
    <t>duration_s</t>
  </si>
  <si>
    <t>end (formula)</t>
  </si>
  <si>
    <t>Step 2: this user's views on the same channel (vsetv_id) from dataset11-30.csv that overlap it (view length capped at 4 h)</t>
  </si>
  <si>
    <t>user_id</t>
  </si>
  <si>
    <t>vsetv_id</t>
  </si>
  <si>
    <t>stop_time</t>
  </si>
  <si>
    <t>overlap_s (formula)</t>
  </si>
  <si>
    <t>4949222956972288366</t>
  </si>
  <si>
    <t>overlap total, s</t>
  </si>
  <si>
    <t>pct = overlap / duration</t>
  </si>
  <si>
    <t>expected in val_airings sheet:</t>
  </si>
  <si>
    <t>Find these rows yourself in the raw CSV files (Ctrl+F by user_id / start time) to confirm them.</t>
  </si>
  <si>
    <t>tv_show_id</t>
  </si>
  <si>
    <t>title</t>
  </si>
  <si>
    <t>channel</t>
  </si>
  <si>
    <t>air_start</t>
  </si>
  <si>
    <t>overlap_s</t>
  </si>
  <si>
    <t>pct</t>
  </si>
  <si>
    <t>pct&gt;=0.8</t>
  </si>
  <si>
    <t>Х/ф 'Вне правил'.</t>
  </si>
  <si>
    <t>2020-05-18 04:15:00</t>
  </si>
  <si>
    <t>Х/ф 'Если б я была мужчиной'.</t>
  </si>
  <si>
    <t>2020-05-18 04:25:00</t>
  </si>
  <si>
    <t>Звездный путь.</t>
  </si>
  <si>
    <t>2020-05-18 09:30:00</t>
  </si>
  <si>
    <t>Х/ф 'Призрачный гонщик'.</t>
  </si>
  <si>
    <t>2020-05-18 16:50:00</t>
  </si>
  <si>
    <t>'Викна-Новости'.</t>
  </si>
  <si>
    <t>2020-05-18 17:30:00</t>
  </si>
  <si>
    <t>Факты. День.</t>
  </si>
  <si>
    <t>2020-05-18 18:45:00</t>
  </si>
  <si>
    <t>Сегодня. Итоги с Олегом Панютой.</t>
  </si>
  <si>
    <t>2020-05-18 19:00:00</t>
  </si>
  <si>
    <t>'Вещдок'.</t>
  </si>
  <si>
    <t>2020-05-18 21:00:00</t>
  </si>
  <si>
    <t>Х/ф 'Кактус'.</t>
  </si>
  <si>
    <t>'Следствие вели...' с Леонидом Каневским.</t>
  </si>
  <si>
    <t>2020-05-18 22:05:00</t>
  </si>
  <si>
    <t>Х/ф 'Облачный атлас'.</t>
  </si>
  <si>
    <t>2020-05-19 03:10:00</t>
  </si>
  <si>
    <t>М/с 'Охотники за привидениями', 40 с.</t>
  </si>
  <si>
    <t>2020-05-19 06:00:00</t>
  </si>
  <si>
    <t>2020-05-19 08:00:00</t>
  </si>
  <si>
    <t>Утро с Украиной.</t>
  </si>
  <si>
    <t>2020-05-19 08:15:00</t>
  </si>
  <si>
    <t>2020-05-19 09:30:00</t>
  </si>
  <si>
    <t>'Реальная мистика'.</t>
  </si>
  <si>
    <t>2020-05-19 10:30:00</t>
  </si>
  <si>
    <t>2020-05-19 13:50:00</t>
  </si>
  <si>
    <t>2020-05-19 16:35:00</t>
  </si>
  <si>
    <t>Х/ф 'Незнайка с нашего двора'.</t>
  </si>
  <si>
    <t>2020-05-20 05:00:00</t>
  </si>
  <si>
    <t>Гражданская оборона.</t>
  </si>
  <si>
    <t>2020-05-20 05:40:00</t>
  </si>
  <si>
    <t>Х/ф 'Челюсти'.</t>
  </si>
  <si>
    <t>2020-05-20 06:15:00</t>
  </si>
  <si>
    <t>ТСН. Спецпроект.</t>
  </si>
  <si>
    <t>2020-05-20 19:30:00</t>
  </si>
  <si>
    <t>2020-05-21 05:40:00</t>
  </si>
  <si>
    <t>'Мамахохотала-шоу'. Лучшее.</t>
  </si>
  <si>
    <t>2020-05-21 05:50:00</t>
  </si>
  <si>
    <t>2020-05-21 18:45:00</t>
  </si>
  <si>
    <t>2020-05-21 19:00:00</t>
  </si>
  <si>
    <t>2020-05-21 19:30:00</t>
  </si>
  <si>
    <t>2020-05-22 05:25:00</t>
  </si>
  <si>
    <t>2020-05-22 05:40:00</t>
  </si>
  <si>
    <t>2020-05-22 08:45:00</t>
  </si>
  <si>
    <t>2020-05-22 09:00:00</t>
  </si>
  <si>
    <t>М/ф 'Шрэк 2'.</t>
  </si>
  <si>
    <t>2020-05-23 06:35:00</t>
  </si>
  <si>
    <t>Т/с 'Когда мы дома'.</t>
  </si>
  <si>
    <t>2020-05-23 06:45:00</t>
  </si>
  <si>
    <t>Х/ф 'Песнь древа'.</t>
  </si>
  <si>
    <t>2020-05-23 07:10:00</t>
  </si>
  <si>
    <t>М/ф 'Рататуй'.</t>
  </si>
  <si>
    <t>2020-05-23 19:00:00</t>
  </si>
  <si>
    <t>Х/ф 'Полтора шпиона'.</t>
  </si>
  <si>
    <t>2020-05-24 16:50:00</t>
  </si>
  <si>
    <t>Х/ф 'Быстрые девушки'.</t>
  </si>
  <si>
    <t>2020-05-24 17:50:00</t>
  </si>
  <si>
    <t>2020-05-24 19:00:00</t>
  </si>
  <si>
    <t>2020-05-24 19:30:00</t>
  </si>
  <si>
    <t>Х/ф 'Паразиты'.</t>
  </si>
  <si>
    <t>2020-05-24 20:30:00</t>
  </si>
  <si>
    <t>Премера. Х/ф 'Путешествие 2: Таинственный остров'.</t>
  </si>
  <si>
    <t>2020-05-24 20:35:00</t>
  </si>
  <si>
    <t>2020-05-25 05:30:00</t>
  </si>
  <si>
    <t>2020-05-25 06:00:00</t>
  </si>
  <si>
    <t>2020-05-25 06:30:00</t>
  </si>
  <si>
    <t>'Завтрак с 1+1'. Информационно-развлекательная программа.</t>
  </si>
  <si>
    <t>2020-05-25 08:10:00</t>
  </si>
  <si>
    <t>2020-05-26 08:00:00</t>
  </si>
  <si>
    <t>2020-05-26 08:15:00</t>
  </si>
  <si>
    <t>2020-05-26 08:45:00</t>
  </si>
  <si>
    <t>Х/ф 'Еще один год'.</t>
  </si>
  <si>
    <t>2020-05-26 17:25:00</t>
  </si>
  <si>
    <t>2020-05-27 13:50:00</t>
  </si>
  <si>
    <t>2020-05-27 16:35:00</t>
  </si>
  <si>
    <t>2020-05-27 17:30:00</t>
  </si>
  <si>
    <t>2020-05-27 18:45:00</t>
  </si>
  <si>
    <t>2020-05-27 19:00:00</t>
  </si>
  <si>
    <t>2020-05-28 05:25:00</t>
  </si>
  <si>
    <t>2020-05-28 06:45:00</t>
  </si>
  <si>
    <t>Х/ф 'Лев'.</t>
  </si>
  <si>
    <t>2020-05-28 19:00:00</t>
  </si>
  <si>
    <t>Х/ф 'Часы с кукушкой', 1-4 с.</t>
  </si>
  <si>
    <t>2020-05-29 15:30:00</t>
  </si>
  <si>
    <t>Х/ф 'Убить Билла'.</t>
  </si>
  <si>
    <t>2020-05-29 21:00:00</t>
  </si>
  <si>
    <t>2020-05-30 19:00:00</t>
  </si>
  <si>
    <t>Главная тема.</t>
  </si>
  <si>
    <t>2020-05-30 20:00:00</t>
  </si>
  <si>
    <t>2020-05-31 07:30:00</t>
  </si>
  <si>
    <t>'Завтрак. Выходной'.</t>
  </si>
  <si>
    <t>2020-05-31 08:00:00</t>
  </si>
  <si>
    <t>Х/ф 'Предатель'.</t>
  </si>
  <si>
    <t>2020-05-31 08:55:00</t>
  </si>
  <si>
    <t>2020-05-31 19:30:00</t>
  </si>
  <si>
    <t>'Мир наизнанку'.</t>
  </si>
  <si>
    <t>2020-06-01 02:50:00</t>
  </si>
  <si>
    <t>2020-06-01 05:00:00</t>
  </si>
  <si>
    <t>2020-06-02 13:50:00</t>
  </si>
  <si>
    <t>2020-06-02 16:35:00</t>
  </si>
  <si>
    <t>Х/ф 'Хищники'.</t>
  </si>
  <si>
    <t>2020-06-02 16:50:00</t>
  </si>
  <si>
    <t>2020-06-02 17:30:00</t>
  </si>
  <si>
    <t>2020-06-02 18:45:00</t>
  </si>
  <si>
    <t>2020-06-02 20:20:00</t>
  </si>
  <si>
    <t>2020-06-03 05:30:00</t>
  </si>
  <si>
    <t>2020-06-03 08:45:00</t>
  </si>
  <si>
    <t>2020-06-04 22:00:00</t>
  </si>
  <si>
    <t>Т/с 'Позднее раскаяние', 16 с.</t>
  </si>
  <si>
    <t>2020-06-04 23:00:00</t>
  </si>
  <si>
    <t>Х/ф 'Маленькие женщины'.</t>
  </si>
  <si>
    <t>2020-06-05 04:00:00</t>
  </si>
  <si>
    <t>2020-06-05 18:45:00</t>
  </si>
  <si>
    <t>Х/ф 'Прости, хочу на тебе жениться'.</t>
  </si>
  <si>
    <t>2020-06-08 07:05:00</t>
  </si>
  <si>
    <t>Х/ф 'Волшебная страна'.</t>
  </si>
  <si>
    <t>2020-06-08 08:10:00</t>
  </si>
  <si>
    <t>Х/ф 'Гостья'.</t>
  </si>
  <si>
    <t>2020-06-08 18:55:00</t>
  </si>
  <si>
    <t>Х/ф 'Зелёный Шершень'.</t>
  </si>
  <si>
    <t>2020-06-09 04:05:00</t>
  </si>
  <si>
    <t>Х/ф 'Леди в фургоне'.</t>
  </si>
  <si>
    <t>2020-06-09 04:15:00</t>
  </si>
  <si>
    <t>2020-06-10 06:45:00</t>
  </si>
  <si>
    <t>2020-06-10 07:15:00</t>
  </si>
  <si>
    <t>2020-06-10 07:45:00</t>
  </si>
  <si>
    <t>2020-06-10 08:00:00</t>
  </si>
  <si>
    <t>2020-06-10 08:15:00</t>
  </si>
  <si>
    <t>2020-06-10 13:50:00</t>
  </si>
  <si>
    <t>2020-06-11 13:50:00</t>
  </si>
  <si>
    <t>2020-06-11 14:30:00</t>
  </si>
  <si>
    <t>2020-06-11 16:35:00</t>
  </si>
  <si>
    <t>Х/ф 'Воздушный маршал'.</t>
  </si>
  <si>
    <t>2020-06-11 16:50:00</t>
  </si>
  <si>
    <t>2020-06-11 17:30:00</t>
  </si>
  <si>
    <t>2020-06-11 18:45:00</t>
  </si>
  <si>
    <t>Ток-шоу 'Говорит Украина'.</t>
  </si>
  <si>
    <t>2020-06-11 20:10:00</t>
  </si>
  <si>
    <t>'Право на власть'.</t>
  </si>
  <si>
    <t>2020-06-11 21:45:00</t>
  </si>
  <si>
    <t>Х/ф 'Обитель зла 3'.</t>
  </si>
  <si>
    <t>2020-06-11 22:40:00</t>
  </si>
  <si>
    <t>2020-06-12 05:25:00</t>
  </si>
  <si>
    <t>2020-06-12 06:30:00</t>
  </si>
  <si>
    <t>2020-06-12 07:10:00</t>
  </si>
  <si>
    <t>2020-06-12 08:00:00</t>
  </si>
  <si>
    <t>2020-06-12 08:15:00</t>
  </si>
  <si>
    <t>Х/ф 'Управление гневом'.</t>
  </si>
  <si>
    <t>2020-06-13 17:45:00</t>
  </si>
  <si>
    <t>Х/ф 'Большие глаза'.</t>
  </si>
  <si>
    <t>2020-06-14 07:05:00</t>
  </si>
  <si>
    <t>Х/ф 'Зелёная книга'.</t>
  </si>
  <si>
    <t>2020-06-14 20:30:00</t>
  </si>
  <si>
    <t>Х/ф 'Городской романс'.</t>
  </si>
  <si>
    <t>2020-06-15 05:35:00</t>
  </si>
  <si>
    <t>Х/ф 'Ожидая груз на рейде Фучжоу возле пагоды'.</t>
  </si>
  <si>
    <t>2020-06-16 05:00:00</t>
  </si>
  <si>
    <t>2020-06-16 05:25:00</t>
  </si>
  <si>
    <t>Х/ф 'Пышка'.</t>
  </si>
  <si>
    <t>2020-06-16 05:50:00</t>
  </si>
  <si>
    <t>2020-06-16 07:45:00</t>
  </si>
  <si>
    <t>2020-06-17 13:50:00</t>
  </si>
  <si>
    <t>2020-06-17 16:35:00</t>
  </si>
  <si>
    <t>2020-06-17 16:45:00</t>
  </si>
  <si>
    <t>2020-06-17 17:30:00</t>
  </si>
  <si>
    <t>2020-06-17 18:45:00</t>
  </si>
  <si>
    <t>2020-06-17 19:30:00</t>
  </si>
  <si>
    <t>Х/ф 'Герой'.</t>
  </si>
  <si>
    <t>2020-06-17 21:00:00</t>
  </si>
  <si>
    <t>2020-06-17 21:10:00</t>
  </si>
  <si>
    <t>Х/ф 'Одноклассники'.</t>
  </si>
  <si>
    <t>2020-06-18 04:20:00</t>
  </si>
  <si>
    <t>2020-06-18 05:25:00</t>
  </si>
  <si>
    <t>Х/ф 'Примадонна'.</t>
  </si>
  <si>
    <t>2020-06-18 05:55:00</t>
  </si>
  <si>
    <t>2020-06-18 06:00:00</t>
  </si>
  <si>
    <t>2020-06-18 19:30:00</t>
  </si>
  <si>
    <t>Х/ф 'Чего хотят женщины'.</t>
  </si>
  <si>
    <t>2020-06-19 17:25:00</t>
  </si>
  <si>
    <t>Х/ф 'Ночной патруль'.</t>
  </si>
  <si>
    <t>2020-06-20 05:45:00</t>
  </si>
  <si>
    <t>2020-06-20 06:00:00</t>
  </si>
  <si>
    <t>2020-06-20 10:00:00</t>
  </si>
  <si>
    <t>Х/ф 'Ронин'.</t>
  </si>
  <si>
    <t>2020-06-20 11:50:00</t>
  </si>
  <si>
    <t>Х/ф 'Безбашенные'.</t>
  </si>
  <si>
    <t>2020-06-20 12:05:00</t>
  </si>
  <si>
    <t>2020-06-20 15:00:00</t>
  </si>
  <si>
    <t>2020-06-20 16:00:00</t>
  </si>
  <si>
    <t>2020-06-20 17:25:00</t>
  </si>
  <si>
    <t>2020-06-20 18:45:00</t>
  </si>
  <si>
    <t>2020-06-20 19:00:00</t>
  </si>
  <si>
    <t>Х/ф 'Хроники Риддика'.</t>
  </si>
  <si>
    <t>2020-06-20 19:10:00</t>
  </si>
  <si>
    <t>Х/ф 'Мальчикам это нравится'.</t>
  </si>
  <si>
    <t>2020-06-20 19:25:00</t>
  </si>
  <si>
    <t>2020-06-20 19:30:00</t>
  </si>
  <si>
    <t>2020-06-20 20:00:00</t>
  </si>
  <si>
    <t>'Вечерний квартал'.</t>
  </si>
  <si>
    <t>2020-06-20 20:15:00</t>
  </si>
  <si>
    <t>Х/ф 'Призрачный патруль'.</t>
  </si>
  <si>
    <t>2020-06-21 16:55:00</t>
  </si>
  <si>
    <t>Х/ф 'Молчи в тряпочку'.</t>
  </si>
  <si>
    <t>2020-06-21 17:35:00</t>
  </si>
  <si>
    <t>Х/ф 'Дюплекс'.</t>
  </si>
  <si>
    <t>2020-06-21 17:50:00</t>
  </si>
  <si>
    <t>Х/ф 'Дневник горничной'.</t>
  </si>
  <si>
    <t>Х/ф 'Земля будущего'.</t>
  </si>
  <si>
    <t>2020-06-21 18:25:00</t>
  </si>
  <si>
    <t>Х/ф 'Орёл Девятого легиона'.</t>
  </si>
  <si>
    <t>2020-06-21 19:05:00</t>
  </si>
  <si>
    <t>Х/ф 'Ты встретишь таинственного незнакомца'.</t>
  </si>
  <si>
    <t>2020-06-21 19:20:00</t>
  </si>
  <si>
    <t>Х/ф 'Посылка'.</t>
  </si>
  <si>
    <t>2020-06-22 19:05:00</t>
  </si>
  <si>
    <t>Х/ф 'Кровавый спорт'</t>
  </si>
  <si>
    <t>2020-06-22 19:20:00</t>
  </si>
  <si>
    <t>Х/ф 'Патриот'.</t>
  </si>
  <si>
    <t>2020-06-22 20:55:00</t>
  </si>
  <si>
    <t>2020-06-23 13:50:00</t>
  </si>
  <si>
    <t>2020-06-23 15:00:00</t>
  </si>
  <si>
    <t>2020-06-23 16:35:00</t>
  </si>
  <si>
    <t>2020-06-23 18:45:00</t>
  </si>
  <si>
    <t>2020-06-23 20:20:00</t>
  </si>
  <si>
    <t>2020-06-24 05:25:00</t>
  </si>
  <si>
    <t>2020-06-25 05:20:00</t>
  </si>
  <si>
    <t>Х/ф 'Призрачный гонщик 2'.</t>
  </si>
  <si>
    <t>2020-06-27 05:20:00</t>
  </si>
  <si>
    <t>Х/ф 'Отмель'.</t>
  </si>
  <si>
    <t>2020-06-27 06:00:00</t>
  </si>
  <si>
    <t>Х/ф 'Берем все на себя'.</t>
  </si>
  <si>
    <t>2020-06-27 06:40:00</t>
  </si>
  <si>
    <t>2020-06-27 20:15:00</t>
  </si>
  <si>
    <t>2020-06-29 06:45:00</t>
  </si>
  <si>
    <t>Х/ф 'Инопланетное вторжение: Битва за Лос-Анджелес'.</t>
  </si>
  <si>
    <t>2020-07-02 04:45:00</t>
  </si>
  <si>
    <t>Х/ф 'Мистер и миссис Смит'.</t>
  </si>
  <si>
    <t>2020-07-08 00:00:00</t>
  </si>
  <si>
    <t>Х/ф 'Было у отца три сына'.</t>
  </si>
  <si>
    <t>2020-07-11 06:00:00</t>
  </si>
  <si>
    <t>Х/ф 'Человек человеку волк'.</t>
  </si>
  <si>
    <t>2020-07-16 01:25:00</t>
  </si>
  <si>
    <t>2020-07-16 19:30:00</t>
  </si>
  <si>
    <t>2020-07-16 22:00:00</t>
  </si>
  <si>
    <t>Х/ф 'Плохие парни 2'.</t>
  </si>
  <si>
    <t>2020-07-16 22:50:00</t>
  </si>
  <si>
    <t>2020-07-16 23:00:00</t>
  </si>
  <si>
    <t>2020-07-17 12:45:00</t>
  </si>
  <si>
    <t>Х/ф 'Змеи на самолете', 2 ч.</t>
  </si>
  <si>
    <t>2020-07-17 13:25:00</t>
  </si>
  <si>
    <t>2020-07-17 13:50:00</t>
  </si>
  <si>
    <t>2020-07-17 16:35:00</t>
  </si>
  <si>
    <t>2020-07-17 17:30:00</t>
  </si>
  <si>
    <t>ДжеДАИ.</t>
  </si>
  <si>
    <t>2020-07-18 06:00:00</t>
  </si>
  <si>
    <t>2020-07-18 13:10:00</t>
  </si>
  <si>
    <t>Х/ф 'Поймай меня, если сможешь'.</t>
  </si>
  <si>
    <t>2020-07-18 14:05:00</t>
  </si>
  <si>
    <t>2020-07-20 08:45:00</t>
  </si>
  <si>
    <t>2020-07-20 18:45:00</t>
  </si>
  <si>
    <t>2020-07-21 05:20:00</t>
  </si>
  <si>
    <t>'Деньги'.</t>
  </si>
  <si>
    <t>2020-07-21 05:30:00</t>
  </si>
  <si>
    <t>2020-07-21 06:30:00</t>
  </si>
  <si>
    <t>2020-07-21 09:00:00</t>
  </si>
  <si>
    <t>2020-07-21 09:10:00</t>
  </si>
  <si>
    <t>2020-07-22 07:00:00</t>
  </si>
  <si>
    <t>2020-07-22 14:25:00</t>
  </si>
  <si>
    <t>2020-07-23 14:25:00</t>
  </si>
  <si>
    <t>Т/с 'Крепостная', 47 и 48 с.</t>
  </si>
  <si>
    <t>2020-07-23 14:50:00</t>
  </si>
  <si>
    <t>2020-07-23 17:30:00</t>
  </si>
  <si>
    <t>2020-07-23 18:45:00</t>
  </si>
  <si>
    <t>Секретные материалы.</t>
  </si>
  <si>
    <t>2020-07-23 19:00:00</t>
  </si>
  <si>
    <t>2020-07-23 19:30:00</t>
  </si>
  <si>
    <t>2020-07-24 05:25:00</t>
  </si>
  <si>
    <t>Х/ф 'Помешанный на времени'.</t>
  </si>
  <si>
    <t>2020-07-24 05:45:00</t>
  </si>
  <si>
    <t>2020-07-24 14:25:00</t>
  </si>
  <si>
    <t>Х/ф 'Еще до войны'.</t>
  </si>
  <si>
    <t>2020-07-25 06:00:00</t>
  </si>
  <si>
    <t>Х/ф 'Знаки'.</t>
  </si>
  <si>
    <t>2020-07-25 06:20:00</t>
  </si>
  <si>
    <t>Х/ф 'Поживем - увидим'.</t>
  </si>
  <si>
    <t>2020-07-25 06:35:00</t>
  </si>
  <si>
    <t>Х/ф 'Плохой хороший человек'.</t>
  </si>
  <si>
    <t>2020-07-25 12:25:00</t>
  </si>
  <si>
    <t>2020-07-25 13:10:00</t>
  </si>
  <si>
    <t>2020-07-26 09:25:00</t>
  </si>
  <si>
    <t>Х/ф 'Время'.</t>
  </si>
  <si>
    <t>2020-07-26 13:20:00</t>
  </si>
  <si>
    <t>Х/ф 'Мир предков'.</t>
  </si>
  <si>
    <t>2020-07-26 14:10:00</t>
  </si>
  <si>
    <t>Х/ф 'Доспехи бога 2'.</t>
  </si>
  <si>
    <t>2020-07-26 16:40:00</t>
  </si>
  <si>
    <t>Х/ф '1+1'.</t>
  </si>
  <si>
    <t>2020-07-26 17:00:00</t>
  </si>
  <si>
    <t>Х/ф 'Выживший'.</t>
  </si>
  <si>
    <t>2020-07-26 20:15:00</t>
  </si>
  <si>
    <t>rank</t>
  </si>
  <si>
    <t>h1 tv_show_id</t>
  </si>
  <si>
    <t>airings watched &gt;=80% (val)</t>
  </si>
  <si>
    <t>in top-5 GT?</t>
  </si>
  <si>
    <t>hit</t>
  </si>
  <si>
    <t>cum hits</t>
  </si>
  <si>
    <t>precision@k if hit</t>
  </si>
  <si>
    <t>GT rank</t>
  </si>
  <si>
    <t>GT tv_show_id (top-5 by count)</t>
  </si>
  <si>
    <t>count</t>
  </si>
  <si>
    <t>AP@5 = sum(precision at hits) / min(5, |GT|)</t>
  </si>
  <si>
    <t>Expected: hits at ranks 1, 3, 4 -&gt; (1/1 + 2/3 + 3/4) / 5 = 0.4833</t>
  </si>
  <si>
    <t>Tie rule: several programs have count 1 (20088, 1100411, 2400508, ...); the truth keeps the smallest tv_show_id, so 20088 is 5th and Veshdok / Segodnya are not in the truth.</t>
  </si>
  <si>
    <t>view_start</t>
  </si>
  <si>
    <t>age_weeks to 2020-05-18</t>
  </si>
  <si>
    <t>pct*0.5^(age/4)</t>
  </si>
  <si>
    <t>p = SUMIF</t>
  </si>
  <si>
    <t>slot (from script)</t>
  </si>
  <si>
    <t>score = p*(slot+1e-4)^0.5</t>
  </si>
  <si>
    <t>Expected order of h1 top-5: 240081, 1100411, 2400467, 2400480, 2400508; 5200303 (Sledstvie veli, in the truth) ranks lower.</t>
  </si>
  <si>
    <t>slot is the share of this user's train viewing time on the channel at the hours the program airs in weeks 21-30 (computed by the script, not recomputed here).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</si>
</sst>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\ hh:mm:ss"/>
    <numFmt numFmtId="165" formatCode="yyyy\-mm\-dd\ hh:m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19" sqref="E19"/>
    </sheetView>
  </sheetViews>
  <sheetFormatPr defaultRowHeight="15" x14ac:dyDescent="0.25"/>
  <cols>
    <col min="2" max="2" width="18.28515625" bestFit="1" customWidth="1"/>
    <col min="3" max="3" width="22" bestFit="1" customWidth="1"/>
    <col min="4" max="4" width="18.28515625" bestFit="1" customWidth="1"/>
  </cols>
  <sheetData>
    <row r="1" spans="1:6" x14ac:dyDescent="0.25">
      <c r="A1" t="s">
        <v>0</v>
      </c>
    </row>
    <row r="2" spans="1:6" x14ac:dyDescent="0.25">
      <c r="A2" t="s">
        <v>1</v>
      </c>
      <c r="B2" t="s">
        <v>2</v>
      </c>
      <c r="C2" t="s">
        <v>3</v>
      </c>
      <c r="D2" t="s">
        <v>4</v>
      </c>
    </row>
    <row r="3" spans="1:6" x14ac:dyDescent="0.25">
      <c r="A3">
        <v>5</v>
      </c>
      <c r="B3" s="1">
        <v>43969.78125</v>
      </c>
      <c r="C3">
        <v>2400</v>
      </c>
      <c r="D3" s="1">
        <f>B3+C3/86400</f>
        <v>43969.809027777781</v>
      </c>
    </row>
    <row r="5" spans="1:6" x14ac:dyDescent="0.25">
      <c r="A5" t="s">
        <v>5</v>
      </c>
    </row>
    <row r="6" spans="1:6" x14ac:dyDescent="0.25">
      <c r="A6" t="s">
        <v>6</v>
      </c>
      <c r="B6" t="s">
        <v>7</v>
      </c>
      <c r="C6" t="s">
        <v>2</v>
      </c>
      <c r="D6" t="s">
        <v>8</v>
      </c>
      <c r="E6" t="s">
        <v>9</v>
      </c>
    </row>
    <row r="7" spans="1:6" x14ac:dyDescent="0.25">
      <c r="A7" t="s">
        <v>10</v>
      </c>
      <c r="B7">
        <v>5</v>
      </c>
      <c r="C7" s="1">
        <v>43969.780185185176</v>
      </c>
      <c r="D7" s="1">
        <v>43969.802430555559</v>
      </c>
      <c r="E7">
        <f>MAX(0,(MIN(D7,$D$3)-MAX(C7,$B$3))*86400)</f>
        <v>1830.0000003073364</v>
      </c>
    </row>
    <row r="9" spans="1:6" x14ac:dyDescent="0.25">
      <c r="A9" t="s">
        <v>11</v>
      </c>
      <c r="B9">
        <f>ROUND(SUM(E7:E7),0)</f>
        <v>1830</v>
      </c>
      <c r="C9" t="s">
        <v>12</v>
      </c>
      <c r="D9">
        <f>MIN(B9/C3,1)</f>
        <v>0.76249999999999996</v>
      </c>
      <c r="E9" t="s">
        <v>13</v>
      </c>
      <c r="F9">
        <v>1830</v>
      </c>
    </row>
    <row r="10" spans="1:6" x14ac:dyDescent="0.25">
      <c r="A10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0"/>
  <sheetViews>
    <sheetView workbookViewId="0">
      <selection activeCell="A6" sqref="A6"/>
    </sheetView>
  </sheetViews>
  <sheetFormatPr defaultRowHeight="15" x14ac:dyDescent="0.25"/>
  <sheetData>
    <row r="1" spans="1:8" x14ac:dyDescent="0.25">
      <c r="A1" t="s">
        <v>15</v>
      </c>
      <c r="B1" t="s">
        <v>16</v>
      </c>
      <c r="C1" t="s">
        <v>17</v>
      </c>
      <c r="D1" t="s">
        <v>18</v>
      </c>
      <c r="E1" t="s">
        <v>3</v>
      </c>
      <c r="F1" t="s">
        <v>19</v>
      </c>
      <c r="G1" t="s">
        <v>20</v>
      </c>
      <c r="H1" t="s">
        <v>21</v>
      </c>
    </row>
    <row r="2" spans="1:8" x14ac:dyDescent="0.25">
      <c r="A2">
        <v>90080332</v>
      </c>
      <c r="B2" t="s">
        <v>22</v>
      </c>
      <c r="C2">
        <v>1516</v>
      </c>
      <c r="D2" t="s">
        <v>23</v>
      </c>
      <c r="E2">
        <v>7500</v>
      </c>
      <c r="F2">
        <v>586</v>
      </c>
      <c r="G2">
        <f t="shared" ref="G2:G65" si="0">MIN(F2/E2,1)</f>
        <v>7.8133333333333332E-2</v>
      </c>
      <c r="H2">
        <f t="shared" ref="H2:H65" si="1">IF(G2&gt;=0.8,1,0)</f>
        <v>0</v>
      </c>
    </row>
    <row r="3" spans="1:8" x14ac:dyDescent="0.25">
      <c r="A3">
        <v>90080568</v>
      </c>
      <c r="B3" t="s">
        <v>24</v>
      </c>
      <c r="C3">
        <v>1020</v>
      </c>
      <c r="D3" t="s">
        <v>25</v>
      </c>
      <c r="E3">
        <v>5700</v>
      </c>
      <c r="F3">
        <v>215</v>
      </c>
      <c r="G3">
        <f t="shared" si="0"/>
        <v>3.7719298245614034E-2</v>
      </c>
      <c r="H3">
        <f t="shared" si="1"/>
        <v>0</v>
      </c>
    </row>
    <row r="4" spans="1:8" x14ac:dyDescent="0.25">
      <c r="A4">
        <v>200506</v>
      </c>
      <c r="B4" t="s">
        <v>26</v>
      </c>
      <c r="C4">
        <v>108</v>
      </c>
      <c r="D4" t="s">
        <v>27</v>
      </c>
      <c r="E4">
        <v>3600</v>
      </c>
      <c r="F4">
        <v>683</v>
      </c>
      <c r="G4">
        <f t="shared" si="0"/>
        <v>0.18972222222222221</v>
      </c>
      <c r="H4">
        <f t="shared" si="1"/>
        <v>0</v>
      </c>
    </row>
    <row r="5" spans="1:8" x14ac:dyDescent="0.25">
      <c r="A5">
        <v>90065611</v>
      </c>
      <c r="B5" t="s">
        <v>28</v>
      </c>
      <c r="C5">
        <v>5</v>
      </c>
      <c r="D5" t="s">
        <v>29</v>
      </c>
      <c r="E5">
        <v>6900</v>
      </c>
      <c r="F5">
        <v>92</v>
      </c>
      <c r="G5">
        <f t="shared" si="0"/>
        <v>1.3333333333333334E-2</v>
      </c>
      <c r="H5">
        <f t="shared" si="1"/>
        <v>0</v>
      </c>
    </row>
    <row r="6" spans="1:8" x14ac:dyDescent="0.25">
      <c r="A6">
        <v>2400467</v>
      </c>
      <c r="B6" t="s">
        <v>30</v>
      </c>
      <c r="C6">
        <v>6</v>
      </c>
      <c r="D6" t="s">
        <v>31</v>
      </c>
      <c r="E6">
        <v>2700</v>
      </c>
      <c r="F6">
        <v>1174</v>
      </c>
      <c r="G6">
        <f t="shared" si="0"/>
        <v>0.43481481481481482</v>
      </c>
      <c r="H6">
        <f t="shared" si="1"/>
        <v>0</v>
      </c>
    </row>
    <row r="7" spans="1:8" x14ac:dyDescent="0.25">
      <c r="A7">
        <v>240081</v>
      </c>
      <c r="B7" t="s">
        <v>32</v>
      </c>
      <c r="C7">
        <v>5</v>
      </c>
      <c r="D7" t="s">
        <v>33</v>
      </c>
      <c r="E7">
        <v>2400</v>
      </c>
      <c r="F7">
        <v>1830</v>
      </c>
      <c r="G7">
        <f t="shared" si="0"/>
        <v>0.76249999999999996</v>
      </c>
      <c r="H7">
        <f t="shared" si="1"/>
        <v>0</v>
      </c>
    </row>
    <row r="8" spans="1:8" x14ac:dyDescent="0.25">
      <c r="A8">
        <v>2400508</v>
      </c>
      <c r="B8" t="s">
        <v>34</v>
      </c>
      <c r="C8">
        <v>108</v>
      </c>
      <c r="D8" t="s">
        <v>35</v>
      </c>
      <c r="E8">
        <v>4200</v>
      </c>
      <c r="F8">
        <v>67</v>
      </c>
      <c r="G8">
        <f t="shared" si="0"/>
        <v>1.5952380952380954E-2</v>
      </c>
      <c r="H8">
        <f t="shared" si="1"/>
        <v>0</v>
      </c>
    </row>
    <row r="9" spans="1:8" x14ac:dyDescent="0.25">
      <c r="A9">
        <v>1100411</v>
      </c>
      <c r="B9" t="s">
        <v>36</v>
      </c>
      <c r="C9">
        <v>4</v>
      </c>
      <c r="D9" t="s">
        <v>37</v>
      </c>
      <c r="E9">
        <v>3900</v>
      </c>
      <c r="F9">
        <v>576</v>
      </c>
      <c r="G9">
        <f t="shared" si="0"/>
        <v>0.14769230769230771</v>
      </c>
      <c r="H9">
        <f t="shared" si="1"/>
        <v>0</v>
      </c>
    </row>
    <row r="10" spans="1:8" x14ac:dyDescent="0.25">
      <c r="A10">
        <v>90062183</v>
      </c>
      <c r="B10" t="s">
        <v>38</v>
      </c>
      <c r="C10">
        <v>1020</v>
      </c>
      <c r="D10" t="s">
        <v>37</v>
      </c>
      <c r="E10">
        <v>5400</v>
      </c>
      <c r="F10">
        <v>3798</v>
      </c>
      <c r="G10">
        <f t="shared" si="0"/>
        <v>0.70333333333333337</v>
      </c>
      <c r="H10">
        <f t="shared" si="1"/>
        <v>0</v>
      </c>
    </row>
    <row r="11" spans="1:8" x14ac:dyDescent="0.25">
      <c r="A11">
        <v>5200303</v>
      </c>
      <c r="B11" t="s">
        <v>39</v>
      </c>
      <c r="C11">
        <v>4</v>
      </c>
      <c r="D11" t="s">
        <v>40</v>
      </c>
      <c r="E11">
        <v>6300</v>
      </c>
      <c r="F11">
        <v>112</v>
      </c>
      <c r="G11">
        <f t="shared" si="0"/>
        <v>1.7777777777777778E-2</v>
      </c>
      <c r="H11">
        <f t="shared" si="1"/>
        <v>0</v>
      </c>
    </row>
    <row r="12" spans="1:8" x14ac:dyDescent="0.25">
      <c r="A12">
        <v>90075111</v>
      </c>
      <c r="B12" t="s">
        <v>41</v>
      </c>
      <c r="C12">
        <v>403</v>
      </c>
      <c r="D12" t="s">
        <v>42</v>
      </c>
      <c r="E12">
        <v>10200</v>
      </c>
      <c r="F12">
        <v>835</v>
      </c>
      <c r="G12">
        <f t="shared" si="0"/>
        <v>8.1862745098039216E-2</v>
      </c>
      <c r="H12">
        <f t="shared" si="1"/>
        <v>0</v>
      </c>
    </row>
    <row r="13" spans="1:8" x14ac:dyDescent="0.25">
      <c r="A13">
        <v>12002142</v>
      </c>
      <c r="B13" t="s">
        <v>43</v>
      </c>
      <c r="C13">
        <v>403</v>
      </c>
      <c r="D13" t="s">
        <v>44</v>
      </c>
      <c r="E13">
        <v>1500</v>
      </c>
      <c r="F13">
        <v>71</v>
      </c>
      <c r="G13">
        <f t="shared" si="0"/>
        <v>4.7333333333333331E-2</v>
      </c>
      <c r="H13">
        <f t="shared" si="1"/>
        <v>0</v>
      </c>
    </row>
    <row r="14" spans="1:8" x14ac:dyDescent="0.25">
      <c r="A14">
        <v>2400508</v>
      </c>
      <c r="B14" t="s">
        <v>34</v>
      </c>
      <c r="C14">
        <v>108</v>
      </c>
      <c r="D14" t="s">
        <v>45</v>
      </c>
      <c r="E14">
        <v>900</v>
      </c>
      <c r="F14">
        <v>66</v>
      </c>
      <c r="G14">
        <f t="shared" si="0"/>
        <v>7.3333333333333334E-2</v>
      </c>
      <c r="H14">
        <f t="shared" si="1"/>
        <v>0</v>
      </c>
    </row>
    <row r="15" spans="1:8" x14ac:dyDescent="0.25">
      <c r="A15">
        <v>5900256</v>
      </c>
      <c r="B15" t="s">
        <v>46</v>
      </c>
      <c r="C15">
        <v>108</v>
      </c>
      <c r="D15" t="s">
        <v>47</v>
      </c>
      <c r="E15">
        <v>2700</v>
      </c>
      <c r="F15">
        <v>872</v>
      </c>
      <c r="G15">
        <f t="shared" si="0"/>
        <v>0.32296296296296295</v>
      </c>
      <c r="H15">
        <f t="shared" si="1"/>
        <v>0</v>
      </c>
    </row>
    <row r="16" spans="1:8" x14ac:dyDescent="0.25">
      <c r="A16">
        <v>200506</v>
      </c>
      <c r="B16" t="s">
        <v>26</v>
      </c>
      <c r="C16">
        <v>108</v>
      </c>
      <c r="D16" t="s">
        <v>48</v>
      </c>
      <c r="E16">
        <v>3600</v>
      </c>
      <c r="F16">
        <v>1699</v>
      </c>
      <c r="G16">
        <f t="shared" si="0"/>
        <v>0.47194444444444444</v>
      </c>
      <c r="H16">
        <f t="shared" si="1"/>
        <v>0</v>
      </c>
    </row>
    <row r="17" spans="1:8" x14ac:dyDescent="0.25">
      <c r="A17">
        <v>5800509</v>
      </c>
      <c r="B17" t="s">
        <v>49</v>
      </c>
      <c r="C17">
        <v>108</v>
      </c>
      <c r="D17" t="s">
        <v>50</v>
      </c>
      <c r="E17">
        <v>10800</v>
      </c>
      <c r="F17">
        <v>113</v>
      </c>
      <c r="G17">
        <f t="shared" si="0"/>
        <v>1.0462962962962962E-2</v>
      </c>
      <c r="H17">
        <f t="shared" si="1"/>
        <v>0</v>
      </c>
    </row>
    <row r="18" spans="1:8" x14ac:dyDescent="0.25">
      <c r="A18">
        <v>1100411</v>
      </c>
      <c r="B18" t="s">
        <v>36</v>
      </c>
      <c r="C18">
        <v>4</v>
      </c>
      <c r="D18" t="s">
        <v>51</v>
      </c>
      <c r="E18">
        <v>9900</v>
      </c>
      <c r="F18">
        <v>933</v>
      </c>
      <c r="G18">
        <f t="shared" si="0"/>
        <v>9.4242424242424239E-2</v>
      </c>
      <c r="H18">
        <f t="shared" si="1"/>
        <v>0</v>
      </c>
    </row>
    <row r="19" spans="1:8" x14ac:dyDescent="0.25">
      <c r="A19">
        <v>1100411</v>
      </c>
      <c r="B19" t="s">
        <v>36</v>
      </c>
      <c r="C19">
        <v>4</v>
      </c>
      <c r="D19" t="s">
        <v>52</v>
      </c>
      <c r="E19">
        <v>3900</v>
      </c>
      <c r="F19">
        <v>415</v>
      </c>
      <c r="G19">
        <f t="shared" si="0"/>
        <v>0.10641025641025641</v>
      </c>
      <c r="H19">
        <f t="shared" si="1"/>
        <v>0</v>
      </c>
    </row>
    <row r="20" spans="1:8" x14ac:dyDescent="0.25">
      <c r="A20">
        <v>90048052</v>
      </c>
      <c r="B20" t="s">
        <v>53</v>
      </c>
      <c r="C20">
        <v>92</v>
      </c>
      <c r="D20" t="s">
        <v>54</v>
      </c>
      <c r="E20">
        <v>7200</v>
      </c>
      <c r="F20">
        <v>129</v>
      </c>
      <c r="G20">
        <f t="shared" si="0"/>
        <v>1.7916666666666668E-2</v>
      </c>
      <c r="H20">
        <f t="shared" si="1"/>
        <v>0</v>
      </c>
    </row>
    <row r="21" spans="1:8" x14ac:dyDescent="0.25">
      <c r="A21">
        <v>2500413</v>
      </c>
      <c r="B21" t="s">
        <v>55</v>
      </c>
      <c r="C21">
        <v>5</v>
      </c>
      <c r="D21" t="s">
        <v>56</v>
      </c>
      <c r="E21">
        <v>3000</v>
      </c>
      <c r="F21">
        <v>1394</v>
      </c>
      <c r="G21">
        <f t="shared" si="0"/>
        <v>0.46466666666666667</v>
      </c>
      <c r="H21">
        <f t="shared" si="1"/>
        <v>0</v>
      </c>
    </row>
    <row r="22" spans="1:8" x14ac:dyDescent="0.25">
      <c r="A22">
        <v>90049433</v>
      </c>
      <c r="B22" t="s">
        <v>57</v>
      </c>
      <c r="C22">
        <v>1520</v>
      </c>
      <c r="D22" t="s">
        <v>58</v>
      </c>
      <c r="E22">
        <v>7500</v>
      </c>
      <c r="F22">
        <v>93</v>
      </c>
      <c r="G22">
        <f t="shared" si="0"/>
        <v>1.24E-2</v>
      </c>
      <c r="H22">
        <f t="shared" si="1"/>
        <v>0</v>
      </c>
    </row>
    <row r="23" spans="1:8" x14ac:dyDescent="0.25">
      <c r="A23">
        <v>2400480</v>
      </c>
      <c r="B23" t="s">
        <v>59</v>
      </c>
      <c r="C23">
        <v>3</v>
      </c>
      <c r="D23" t="s">
        <v>60</v>
      </c>
      <c r="E23">
        <v>4500</v>
      </c>
      <c r="F23">
        <v>224</v>
      </c>
      <c r="G23">
        <f t="shared" si="0"/>
        <v>4.9777777777777775E-2</v>
      </c>
      <c r="H23">
        <f t="shared" si="1"/>
        <v>0</v>
      </c>
    </row>
    <row r="24" spans="1:8" x14ac:dyDescent="0.25">
      <c r="A24">
        <v>2500413</v>
      </c>
      <c r="B24" t="s">
        <v>55</v>
      </c>
      <c r="C24">
        <v>5</v>
      </c>
      <c r="D24" t="s">
        <v>61</v>
      </c>
      <c r="E24">
        <v>3000</v>
      </c>
      <c r="F24">
        <v>657</v>
      </c>
      <c r="G24">
        <f t="shared" si="0"/>
        <v>0.219</v>
      </c>
      <c r="H24">
        <f t="shared" si="1"/>
        <v>0</v>
      </c>
    </row>
    <row r="25" spans="1:8" x14ac:dyDescent="0.25">
      <c r="A25">
        <v>200405</v>
      </c>
      <c r="B25" t="s">
        <v>62</v>
      </c>
      <c r="C25">
        <v>843</v>
      </c>
      <c r="D25" t="s">
        <v>63</v>
      </c>
      <c r="E25">
        <v>3600</v>
      </c>
      <c r="F25">
        <v>412</v>
      </c>
      <c r="G25">
        <f t="shared" si="0"/>
        <v>0.11444444444444445</v>
      </c>
      <c r="H25">
        <f t="shared" si="1"/>
        <v>0</v>
      </c>
    </row>
    <row r="26" spans="1:8" x14ac:dyDescent="0.25">
      <c r="A26">
        <v>240081</v>
      </c>
      <c r="B26" t="s">
        <v>32</v>
      </c>
      <c r="C26">
        <v>5</v>
      </c>
      <c r="D26" t="s">
        <v>64</v>
      </c>
      <c r="E26">
        <v>2400</v>
      </c>
      <c r="F26">
        <v>673</v>
      </c>
      <c r="G26">
        <f t="shared" si="0"/>
        <v>0.28041666666666665</v>
      </c>
      <c r="H26">
        <f t="shared" si="1"/>
        <v>0</v>
      </c>
    </row>
    <row r="27" spans="1:8" x14ac:dyDescent="0.25">
      <c r="A27">
        <v>2400508</v>
      </c>
      <c r="B27" t="s">
        <v>34</v>
      </c>
      <c r="C27">
        <v>108</v>
      </c>
      <c r="D27" t="s">
        <v>65</v>
      </c>
      <c r="E27">
        <v>4200</v>
      </c>
      <c r="F27">
        <v>1431</v>
      </c>
      <c r="G27">
        <f t="shared" si="0"/>
        <v>0.34071428571428569</v>
      </c>
      <c r="H27">
        <f t="shared" si="1"/>
        <v>0</v>
      </c>
    </row>
    <row r="28" spans="1:8" x14ac:dyDescent="0.25">
      <c r="A28">
        <v>2400480</v>
      </c>
      <c r="B28" t="s">
        <v>59</v>
      </c>
      <c r="C28">
        <v>3</v>
      </c>
      <c r="D28" t="s">
        <v>66</v>
      </c>
      <c r="E28">
        <v>4200</v>
      </c>
      <c r="F28">
        <v>563</v>
      </c>
      <c r="G28">
        <f t="shared" si="0"/>
        <v>0.13404761904761905</v>
      </c>
      <c r="H28">
        <f t="shared" si="1"/>
        <v>0</v>
      </c>
    </row>
    <row r="29" spans="1:8" x14ac:dyDescent="0.25">
      <c r="A29">
        <v>5200303</v>
      </c>
      <c r="B29" t="s">
        <v>39</v>
      </c>
      <c r="C29">
        <v>4</v>
      </c>
      <c r="D29" t="s">
        <v>67</v>
      </c>
      <c r="E29">
        <v>5700</v>
      </c>
      <c r="F29">
        <v>4889</v>
      </c>
      <c r="G29">
        <f t="shared" si="0"/>
        <v>0.85771929824561399</v>
      </c>
      <c r="H29">
        <f t="shared" si="1"/>
        <v>1</v>
      </c>
    </row>
    <row r="30" spans="1:8" x14ac:dyDescent="0.25">
      <c r="A30">
        <v>2500413</v>
      </c>
      <c r="B30" t="s">
        <v>55</v>
      </c>
      <c r="C30">
        <v>5</v>
      </c>
      <c r="D30" t="s">
        <v>68</v>
      </c>
      <c r="E30">
        <v>3000</v>
      </c>
      <c r="F30">
        <v>96</v>
      </c>
      <c r="G30">
        <f t="shared" si="0"/>
        <v>3.2000000000000001E-2</v>
      </c>
      <c r="H30">
        <f t="shared" si="1"/>
        <v>0</v>
      </c>
    </row>
    <row r="31" spans="1:8" x14ac:dyDescent="0.25">
      <c r="A31">
        <v>240081</v>
      </c>
      <c r="B31" t="s">
        <v>32</v>
      </c>
      <c r="C31">
        <v>5</v>
      </c>
      <c r="D31" t="s">
        <v>69</v>
      </c>
      <c r="E31">
        <v>1800</v>
      </c>
      <c r="F31">
        <v>1787</v>
      </c>
      <c r="G31">
        <f t="shared" si="0"/>
        <v>0.99277777777777776</v>
      </c>
      <c r="H31">
        <f t="shared" si="1"/>
        <v>1</v>
      </c>
    </row>
    <row r="32" spans="1:8" x14ac:dyDescent="0.25">
      <c r="A32">
        <v>2400508</v>
      </c>
      <c r="B32" t="s">
        <v>34</v>
      </c>
      <c r="C32">
        <v>108</v>
      </c>
      <c r="D32" t="s">
        <v>70</v>
      </c>
      <c r="E32">
        <v>1800</v>
      </c>
      <c r="F32">
        <v>92</v>
      </c>
      <c r="G32">
        <f t="shared" si="0"/>
        <v>5.1111111111111114E-2</v>
      </c>
      <c r="H32">
        <f t="shared" si="1"/>
        <v>0</v>
      </c>
    </row>
    <row r="33" spans="1:8" x14ac:dyDescent="0.25">
      <c r="A33">
        <v>120060837</v>
      </c>
      <c r="B33" t="s">
        <v>71</v>
      </c>
      <c r="C33">
        <v>1516</v>
      </c>
      <c r="D33" t="s">
        <v>72</v>
      </c>
      <c r="E33">
        <v>5700</v>
      </c>
      <c r="F33">
        <v>224</v>
      </c>
      <c r="G33">
        <f t="shared" si="0"/>
        <v>3.9298245614035089E-2</v>
      </c>
      <c r="H33">
        <f t="shared" si="1"/>
        <v>0</v>
      </c>
    </row>
    <row r="34" spans="1:8" x14ac:dyDescent="0.25">
      <c r="A34">
        <v>10002893</v>
      </c>
      <c r="B34" t="s">
        <v>73</v>
      </c>
      <c r="C34">
        <v>6</v>
      </c>
      <c r="D34" t="s">
        <v>74</v>
      </c>
      <c r="E34">
        <v>10800</v>
      </c>
      <c r="F34">
        <v>1514</v>
      </c>
      <c r="G34">
        <f t="shared" si="0"/>
        <v>0.14018518518518519</v>
      </c>
      <c r="H34">
        <f t="shared" si="1"/>
        <v>0</v>
      </c>
    </row>
    <row r="35" spans="1:8" x14ac:dyDescent="0.25">
      <c r="A35">
        <v>90082217</v>
      </c>
      <c r="B35" t="s">
        <v>75</v>
      </c>
      <c r="C35">
        <v>1020</v>
      </c>
      <c r="D35" t="s">
        <v>76</v>
      </c>
      <c r="E35">
        <v>5700</v>
      </c>
      <c r="F35">
        <v>784</v>
      </c>
      <c r="G35">
        <f t="shared" si="0"/>
        <v>0.1375438596491228</v>
      </c>
      <c r="H35">
        <f t="shared" si="1"/>
        <v>0</v>
      </c>
    </row>
    <row r="36" spans="1:8" x14ac:dyDescent="0.25">
      <c r="A36">
        <v>120066765</v>
      </c>
      <c r="B36" t="s">
        <v>77</v>
      </c>
      <c r="C36">
        <v>7</v>
      </c>
      <c r="D36" t="s">
        <v>78</v>
      </c>
      <c r="E36">
        <v>7200</v>
      </c>
      <c r="F36">
        <v>1750</v>
      </c>
      <c r="G36">
        <f t="shared" si="0"/>
        <v>0.24305555555555555</v>
      </c>
      <c r="H36">
        <f t="shared" si="1"/>
        <v>0</v>
      </c>
    </row>
    <row r="37" spans="1:8" x14ac:dyDescent="0.25">
      <c r="A37">
        <v>90079632</v>
      </c>
      <c r="B37" t="s">
        <v>79</v>
      </c>
      <c r="C37">
        <v>5</v>
      </c>
      <c r="D37" t="s">
        <v>80</v>
      </c>
      <c r="E37">
        <v>6900</v>
      </c>
      <c r="F37">
        <v>180</v>
      </c>
      <c r="G37">
        <f t="shared" si="0"/>
        <v>2.6086956521739129E-2</v>
      </c>
      <c r="H37">
        <f t="shared" si="1"/>
        <v>0</v>
      </c>
    </row>
    <row r="38" spans="1:8" x14ac:dyDescent="0.25">
      <c r="A38">
        <v>90077869</v>
      </c>
      <c r="B38" t="s">
        <v>81</v>
      </c>
      <c r="C38">
        <v>1020</v>
      </c>
      <c r="D38" t="s">
        <v>82</v>
      </c>
      <c r="E38">
        <v>5100</v>
      </c>
      <c r="F38">
        <v>100</v>
      </c>
      <c r="G38">
        <f t="shared" si="0"/>
        <v>1.9607843137254902E-2</v>
      </c>
      <c r="H38">
        <f t="shared" si="1"/>
        <v>0</v>
      </c>
    </row>
    <row r="39" spans="1:8" x14ac:dyDescent="0.25">
      <c r="A39">
        <v>2400508</v>
      </c>
      <c r="B39" t="s">
        <v>34</v>
      </c>
      <c r="C39">
        <v>108</v>
      </c>
      <c r="D39" t="s">
        <v>83</v>
      </c>
      <c r="E39">
        <v>7200</v>
      </c>
      <c r="F39">
        <v>131</v>
      </c>
      <c r="G39">
        <f t="shared" si="0"/>
        <v>1.8194444444444444E-2</v>
      </c>
      <c r="H39">
        <f t="shared" si="1"/>
        <v>0</v>
      </c>
    </row>
    <row r="40" spans="1:8" x14ac:dyDescent="0.25">
      <c r="A40">
        <v>2400480</v>
      </c>
      <c r="B40" t="s">
        <v>59</v>
      </c>
      <c r="C40">
        <v>3</v>
      </c>
      <c r="D40" t="s">
        <v>84</v>
      </c>
      <c r="E40">
        <v>5400</v>
      </c>
      <c r="F40">
        <v>93</v>
      </c>
      <c r="G40">
        <f t="shared" si="0"/>
        <v>1.7222222222222222E-2</v>
      </c>
      <c r="H40">
        <f t="shared" si="1"/>
        <v>0</v>
      </c>
    </row>
    <row r="41" spans="1:8" x14ac:dyDescent="0.25">
      <c r="A41">
        <v>90082678</v>
      </c>
      <c r="B41" t="s">
        <v>85</v>
      </c>
      <c r="C41">
        <v>4</v>
      </c>
      <c r="D41" t="s">
        <v>86</v>
      </c>
      <c r="E41">
        <v>9600</v>
      </c>
      <c r="F41">
        <v>77</v>
      </c>
      <c r="G41">
        <f t="shared" si="0"/>
        <v>8.0208333333333329E-3</v>
      </c>
      <c r="H41">
        <f t="shared" si="1"/>
        <v>0</v>
      </c>
    </row>
    <row r="42" spans="1:8" x14ac:dyDescent="0.25">
      <c r="A42">
        <v>90074192</v>
      </c>
      <c r="B42" t="s">
        <v>87</v>
      </c>
      <c r="C42">
        <v>5</v>
      </c>
      <c r="D42" t="s">
        <v>88</v>
      </c>
      <c r="E42">
        <v>6000</v>
      </c>
      <c r="F42">
        <v>70</v>
      </c>
      <c r="G42">
        <f t="shared" si="0"/>
        <v>1.1666666666666667E-2</v>
      </c>
      <c r="H42">
        <f t="shared" si="1"/>
        <v>0</v>
      </c>
    </row>
    <row r="43" spans="1:8" x14ac:dyDescent="0.25">
      <c r="A43">
        <v>5200303</v>
      </c>
      <c r="B43" t="s">
        <v>39</v>
      </c>
      <c r="C43">
        <v>4</v>
      </c>
      <c r="D43" t="s">
        <v>89</v>
      </c>
      <c r="E43">
        <v>5400</v>
      </c>
      <c r="F43">
        <v>4837</v>
      </c>
      <c r="G43">
        <f t="shared" si="0"/>
        <v>0.89574074074074073</v>
      </c>
      <c r="H43">
        <f t="shared" si="1"/>
        <v>1</v>
      </c>
    </row>
    <row r="44" spans="1:8" x14ac:dyDescent="0.25">
      <c r="A44">
        <v>2500413</v>
      </c>
      <c r="B44" t="s">
        <v>55</v>
      </c>
      <c r="C44">
        <v>5</v>
      </c>
      <c r="D44" t="s">
        <v>90</v>
      </c>
      <c r="E44">
        <v>2700</v>
      </c>
      <c r="F44">
        <v>162</v>
      </c>
      <c r="G44">
        <f t="shared" si="0"/>
        <v>0.06</v>
      </c>
      <c r="H44">
        <f t="shared" si="1"/>
        <v>0</v>
      </c>
    </row>
    <row r="45" spans="1:8" x14ac:dyDescent="0.25">
      <c r="A45">
        <v>5900256</v>
      </c>
      <c r="B45" t="s">
        <v>46</v>
      </c>
      <c r="C45">
        <v>108</v>
      </c>
      <c r="D45" t="s">
        <v>91</v>
      </c>
      <c r="E45">
        <v>1800</v>
      </c>
      <c r="F45">
        <v>227</v>
      </c>
      <c r="G45">
        <f t="shared" si="0"/>
        <v>0.12611111111111112</v>
      </c>
      <c r="H45">
        <f t="shared" si="1"/>
        <v>0</v>
      </c>
    </row>
    <row r="46" spans="1:8" x14ac:dyDescent="0.25">
      <c r="A46">
        <v>20088</v>
      </c>
      <c r="B46" t="s">
        <v>92</v>
      </c>
      <c r="C46">
        <v>3</v>
      </c>
      <c r="D46" t="s">
        <v>93</v>
      </c>
      <c r="E46">
        <v>3000</v>
      </c>
      <c r="F46">
        <v>1395</v>
      </c>
      <c r="G46">
        <f t="shared" si="0"/>
        <v>0.46500000000000002</v>
      </c>
      <c r="H46">
        <f t="shared" si="1"/>
        <v>0</v>
      </c>
    </row>
    <row r="47" spans="1:8" x14ac:dyDescent="0.25">
      <c r="A47">
        <v>2400508</v>
      </c>
      <c r="B47" t="s">
        <v>34</v>
      </c>
      <c r="C47">
        <v>108</v>
      </c>
      <c r="D47" t="s">
        <v>94</v>
      </c>
      <c r="E47">
        <v>900</v>
      </c>
      <c r="F47">
        <v>185</v>
      </c>
      <c r="G47">
        <f t="shared" si="0"/>
        <v>0.20555555555555555</v>
      </c>
      <c r="H47">
        <f t="shared" si="1"/>
        <v>0</v>
      </c>
    </row>
    <row r="48" spans="1:8" x14ac:dyDescent="0.25">
      <c r="A48">
        <v>5900256</v>
      </c>
      <c r="B48" t="s">
        <v>46</v>
      </c>
      <c r="C48">
        <v>108</v>
      </c>
      <c r="D48" t="s">
        <v>95</v>
      </c>
      <c r="E48">
        <v>2700</v>
      </c>
      <c r="F48">
        <v>373</v>
      </c>
      <c r="G48">
        <f t="shared" si="0"/>
        <v>0.13814814814814816</v>
      </c>
      <c r="H48">
        <f t="shared" si="1"/>
        <v>0</v>
      </c>
    </row>
    <row r="49" spans="1:8" x14ac:dyDescent="0.25">
      <c r="A49">
        <v>240081</v>
      </c>
      <c r="B49" t="s">
        <v>32</v>
      </c>
      <c r="C49">
        <v>5</v>
      </c>
      <c r="D49" t="s">
        <v>96</v>
      </c>
      <c r="E49">
        <v>1800</v>
      </c>
      <c r="F49">
        <v>1800</v>
      </c>
      <c r="G49">
        <f t="shared" si="0"/>
        <v>1</v>
      </c>
      <c r="H49">
        <f t="shared" si="1"/>
        <v>1</v>
      </c>
    </row>
    <row r="50" spans="1:8" x14ac:dyDescent="0.25">
      <c r="A50">
        <v>90073026</v>
      </c>
      <c r="B50" t="s">
        <v>97</v>
      </c>
      <c r="C50">
        <v>1020</v>
      </c>
      <c r="D50" t="s">
        <v>98</v>
      </c>
      <c r="E50">
        <v>7800</v>
      </c>
      <c r="F50">
        <v>337</v>
      </c>
      <c r="G50">
        <f t="shared" si="0"/>
        <v>4.3205128205128208E-2</v>
      </c>
      <c r="H50">
        <f t="shared" si="1"/>
        <v>0</v>
      </c>
    </row>
    <row r="51" spans="1:8" x14ac:dyDescent="0.25">
      <c r="A51">
        <v>1100411</v>
      </c>
      <c r="B51" t="s">
        <v>36</v>
      </c>
      <c r="C51">
        <v>4</v>
      </c>
      <c r="D51" t="s">
        <v>99</v>
      </c>
      <c r="E51">
        <v>9900</v>
      </c>
      <c r="F51">
        <v>7122</v>
      </c>
      <c r="G51">
        <f t="shared" si="0"/>
        <v>0.71939393939393936</v>
      </c>
      <c r="H51">
        <f t="shared" si="1"/>
        <v>0</v>
      </c>
    </row>
    <row r="52" spans="1:8" x14ac:dyDescent="0.25">
      <c r="A52">
        <v>1100411</v>
      </c>
      <c r="B52" t="s">
        <v>36</v>
      </c>
      <c r="C52">
        <v>4</v>
      </c>
      <c r="D52" t="s">
        <v>100</v>
      </c>
      <c r="E52">
        <v>3900</v>
      </c>
      <c r="F52">
        <v>2345</v>
      </c>
      <c r="G52">
        <f t="shared" si="0"/>
        <v>0.60128205128205126</v>
      </c>
      <c r="H52">
        <f t="shared" si="1"/>
        <v>0</v>
      </c>
    </row>
    <row r="53" spans="1:8" x14ac:dyDescent="0.25">
      <c r="A53">
        <v>2400467</v>
      </c>
      <c r="B53" t="s">
        <v>30</v>
      </c>
      <c r="C53">
        <v>6</v>
      </c>
      <c r="D53" t="s">
        <v>101</v>
      </c>
      <c r="E53">
        <v>2700</v>
      </c>
      <c r="F53">
        <v>2006</v>
      </c>
      <c r="G53">
        <f t="shared" si="0"/>
        <v>0.74296296296296294</v>
      </c>
      <c r="H53">
        <f t="shared" si="1"/>
        <v>0</v>
      </c>
    </row>
    <row r="54" spans="1:8" x14ac:dyDescent="0.25">
      <c r="A54">
        <v>240081</v>
      </c>
      <c r="B54" t="s">
        <v>32</v>
      </c>
      <c r="C54">
        <v>5</v>
      </c>
      <c r="D54" t="s">
        <v>102</v>
      </c>
      <c r="E54">
        <v>1500</v>
      </c>
      <c r="F54">
        <v>846</v>
      </c>
      <c r="G54">
        <f t="shared" si="0"/>
        <v>0.56399999999999995</v>
      </c>
      <c r="H54">
        <f t="shared" si="1"/>
        <v>0</v>
      </c>
    </row>
    <row r="55" spans="1:8" x14ac:dyDescent="0.25">
      <c r="A55">
        <v>2400508</v>
      </c>
      <c r="B55" t="s">
        <v>34</v>
      </c>
      <c r="C55">
        <v>108</v>
      </c>
      <c r="D55" t="s">
        <v>103</v>
      </c>
      <c r="E55">
        <v>4200</v>
      </c>
      <c r="F55">
        <v>489</v>
      </c>
      <c r="G55">
        <f t="shared" si="0"/>
        <v>0.11642857142857142</v>
      </c>
      <c r="H55">
        <f t="shared" si="1"/>
        <v>0</v>
      </c>
    </row>
    <row r="56" spans="1:8" x14ac:dyDescent="0.25">
      <c r="A56">
        <v>5200303</v>
      </c>
      <c r="B56" t="s">
        <v>39</v>
      </c>
      <c r="C56">
        <v>4</v>
      </c>
      <c r="D56" t="s">
        <v>104</v>
      </c>
      <c r="E56">
        <v>5700</v>
      </c>
      <c r="F56">
        <v>3752</v>
      </c>
      <c r="G56">
        <f t="shared" si="0"/>
        <v>0.65824561403508774</v>
      </c>
      <c r="H56">
        <f t="shared" si="1"/>
        <v>0</v>
      </c>
    </row>
    <row r="57" spans="1:8" x14ac:dyDescent="0.25">
      <c r="A57">
        <v>240081</v>
      </c>
      <c r="B57" t="s">
        <v>32</v>
      </c>
      <c r="C57">
        <v>5</v>
      </c>
      <c r="D57" t="s">
        <v>105</v>
      </c>
      <c r="E57">
        <v>300</v>
      </c>
      <c r="F57">
        <v>204</v>
      </c>
      <c r="G57">
        <f t="shared" si="0"/>
        <v>0.68</v>
      </c>
      <c r="H57">
        <f t="shared" si="1"/>
        <v>0</v>
      </c>
    </row>
    <row r="58" spans="1:8" x14ac:dyDescent="0.25">
      <c r="A58">
        <v>90079986</v>
      </c>
      <c r="B58" t="s">
        <v>106</v>
      </c>
      <c r="C58">
        <v>1020</v>
      </c>
      <c r="D58" t="s">
        <v>107</v>
      </c>
      <c r="E58">
        <v>7200</v>
      </c>
      <c r="F58">
        <v>189</v>
      </c>
      <c r="G58">
        <f t="shared" si="0"/>
        <v>2.6249999999999999E-2</v>
      </c>
      <c r="H58">
        <f t="shared" si="1"/>
        <v>0</v>
      </c>
    </row>
    <row r="59" spans="1:8" x14ac:dyDescent="0.25">
      <c r="A59">
        <v>90082051</v>
      </c>
      <c r="B59" t="s">
        <v>108</v>
      </c>
      <c r="C59">
        <v>108</v>
      </c>
      <c r="D59" t="s">
        <v>109</v>
      </c>
      <c r="E59">
        <v>1800</v>
      </c>
      <c r="F59">
        <v>79</v>
      </c>
      <c r="G59">
        <f t="shared" si="0"/>
        <v>4.3888888888888887E-2</v>
      </c>
      <c r="H59">
        <f t="shared" si="1"/>
        <v>0</v>
      </c>
    </row>
    <row r="60" spans="1:8" x14ac:dyDescent="0.25">
      <c r="A60">
        <v>90056796</v>
      </c>
      <c r="B60" t="s">
        <v>110</v>
      </c>
      <c r="C60">
        <v>1520</v>
      </c>
      <c r="D60" t="s">
        <v>111</v>
      </c>
      <c r="E60">
        <v>6600</v>
      </c>
      <c r="F60">
        <v>4557</v>
      </c>
      <c r="G60">
        <f t="shared" si="0"/>
        <v>0.69045454545454543</v>
      </c>
      <c r="H60">
        <f t="shared" si="1"/>
        <v>0</v>
      </c>
    </row>
    <row r="61" spans="1:8" x14ac:dyDescent="0.25">
      <c r="A61">
        <v>2400508</v>
      </c>
      <c r="B61" t="s">
        <v>34</v>
      </c>
      <c r="C61">
        <v>108</v>
      </c>
      <c r="D61" t="s">
        <v>112</v>
      </c>
      <c r="E61">
        <v>3600</v>
      </c>
      <c r="F61">
        <v>390</v>
      </c>
      <c r="G61">
        <f t="shared" si="0"/>
        <v>0.10833333333333334</v>
      </c>
      <c r="H61">
        <f t="shared" si="1"/>
        <v>0</v>
      </c>
    </row>
    <row r="62" spans="1:8" x14ac:dyDescent="0.25">
      <c r="A62">
        <v>2500507</v>
      </c>
      <c r="B62" t="s">
        <v>113</v>
      </c>
      <c r="C62">
        <v>108</v>
      </c>
      <c r="D62" t="s">
        <v>114</v>
      </c>
      <c r="E62">
        <v>3600</v>
      </c>
      <c r="F62">
        <v>283</v>
      </c>
      <c r="G62">
        <f t="shared" si="0"/>
        <v>7.8611111111111118E-2</v>
      </c>
      <c r="H62">
        <f t="shared" si="1"/>
        <v>0</v>
      </c>
    </row>
    <row r="63" spans="1:8" x14ac:dyDescent="0.25">
      <c r="A63">
        <v>200506</v>
      </c>
      <c r="B63" t="s">
        <v>26</v>
      </c>
      <c r="C63">
        <v>108</v>
      </c>
      <c r="D63" t="s">
        <v>115</v>
      </c>
      <c r="E63">
        <v>7500</v>
      </c>
      <c r="F63">
        <v>173</v>
      </c>
      <c r="G63">
        <f t="shared" si="0"/>
        <v>2.3066666666666666E-2</v>
      </c>
      <c r="H63">
        <f t="shared" si="1"/>
        <v>0</v>
      </c>
    </row>
    <row r="64" spans="1:8" x14ac:dyDescent="0.25">
      <c r="A64">
        <v>200477</v>
      </c>
      <c r="B64" t="s">
        <v>116</v>
      </c>
      <c r="C64">
        <v>3</v>
      </c>
      <c r="D64" t="s">
        <v>117</v>
      </c>
      <c r="E64">
        <v>3600</v>
      </c>
      <c r="F64">
        <v>542</v>
      </c>
      <c r="G64">
        <f t="shared" si="0"/>
        <v>0.15055555555555555</v>
      </c>
      <c r="H64">
        <f t="shared" si="1"/>
        <v>0</v>
      </c>
    </row>
    <row r="65" spans="1:8" x14ac:dyDescent="0.25">
      <c r="A65">
        <v>90069882</v>
      </c>
      <c r="B65" t="s">
        <v>118</v>
      </c>
      <c r="C65">
        <v>805</v>
      </c>
      <c r="D65" t="s">
        <v>119</v>
      </c>
      <c r="E65">
        <v>6900</v>
      </c>
      <c r="F65">
        <v>1236</v>
      </c>
      <c r="G65">
        <f t="shared" si="0"/>
        <v>0.17913043478260871</v>
      </c>
      <c r="H65">
        <f t="shared" si="1"/>
        <v>0</v>
      </c>
    </row>
    <row r="66" spans="1:8" x14ac:dyDescent="0.25">
      <c r="A66">
        <v>2400480</v>
      </c>
      <c r="B66" t="s">
        <v>59</v>
      </c>
      <c r="C66">
        <v>3</v>
      </c>
      <c r="D66" t="s">
        <v>120</v>
      </c>
      <c r="E66">
        <v>5400</v>
      </c>
      <c r="F66">
        <v>765</v>
      </c>
      <c r="G66">
        <f t="shared" ref="G66:G129" si="2">MIN(F66/E66,1)</f>
        <v>0.14166666666666666</v>
      </c>
      <c r="H66">
        <f t="shared" ref="H66:H129" si="3">IF(G66&gt;=0.8,1,0)</f>
        <v>0</v>
      </c>
    </row>
    <row r="67" spans="1:8" x14ac:dyDescent="0.25">
      <c r="A67">
        <v>6500479</v>
      </c>
      <c r="B67" t="s">
        <v>121</v>
      </c>
      <c r="C67">
        <v>3</v>
      </c>
      <c r="D67" t="s">
        <v>122</v>
      </c>
      <c r="E67">
        <v>7800</v>
      </c>
      <c r="F67">
        <v>215</v>
      </c>
      <c r="G67">
        <f t="shared" si="2"/>
        <v>2.7564102564102563E-2</v>
      </c>
      <c r="H67">
        <f t="shared" si="3"/>
        <v>0</v>
      </c>
    </row>
    <row r="68" spans="1:8" x14ac:dyDescent="0.25">
      <c r="A68">
        <v>2400480</v>
      </c>
      <c r="B68" t="s">
        <v>59</v>
      </c>
      <c r="C68">
        <v>3</v>
      </c>
      <c r="D68" t="s">
        <v>123</v>
      </c>
      <c r="E68">
        <v>5400</v>
      </c>
      <c r="F68">
        <v>5293</v>
      </c>
      <c r="G68">
        <f t="shared" si="2"/>
        <v>0.98018518518518516</v>
      </c>
      <c r="H68">
        <f t="shared" si="3"/>
        <v>1</v>
      </c>
    </row>
    <row r="69" spans="1:8" x14ac:dyDescent="0.25">
      <c r="A69">
        <v>1100411</v>
      </c>
      <c r="B69" t="s">
        <v>36</v>
      </c>
      <c r="C69">
        <v>4</v>
      </c>
      <c r="D69" t="s">
        <v>124</v>
      </c>
      <c r="E69">
        <v>9900</v>
      </c>
      <c r="F69">
        <v>6723</v>
      </c>
      <c r="G69">
        <f t="shared" si="2"/>
        <v>0.67909090909090908</v>
      </c>
      <c r="H69">
        <f t="shared" si="3"/>
        <v>0</v>
      </c>
    </row>
    <row r="70" spans="1:8" x14ac:dyDescent="0.25">
      <c r="A70">
        <v>1100411</v>
      </c>
      <c r="B70" t="s">
        <v>36</v>
      </c>
      <c r="C70">
        <v>4</v>
      </c>
      <c r="D70" t="s">
        <v>125</v>
      </c>
      <c r="E70">
        <v>3900</v>
      </c>
      <c r="F70">
        <v>3059</v>
      </c>
      <c r="G70">
        <f t="shared" si="2"/>
        <v>0.78435897435897439</v>
      </c>
      <c r="H70">
        <f t="shared" si="3"/>
        <v>0</v>
      </c>
    </row>
    <row r="71" spans="1:8" x14ac:dyDescent="0.25">
      <c r="A71">
        <v>90072122</v>
      </c>
      <c r="B71" t="s">
        <v>126</v>
      </c>
      <c r="C71">
        <v>5</v>
      </c>
      <c r="D71" t="s">
        <v>127</v>
      </c>
      <c r="E71">
        <v>6900</v>
      </c>
      <c r="F71">
        <v>32</v>
      </c>
      <c r="G71">
        <f t="shared" si="2"/>
        <v>4.6376811594202897E-3</v>
      </c>
      <c r="H71">
        <f t="shared" si="3"/>
        <v>0</v>
      </c>
    </row>
    <row r="72" spans="1:8" x14ac:dyDescent="0.25">
      <c r="A72">
        <v>2400467</v>
      </c>
      <c r="B72" t="s">
        <v>30</v>
      </c>
      <c r="C72">
        <v>6</v>
      </c>
      <c r="D72" t="s">
        <v>128</v>
      </c>
      <c r="E72">
        <v>2700</v>
      </c>
      <c r="F72">
        <v>2418</v>
      </c>
      <c r="G72">
        <f t="shared" si="2"/>
        <v>0.89555555555555555</v>
      </c>
      <c r="H72">
        <f t="shared" si="3"/>
        <v>1</v>
      </c>
    </row>
    <row r="73" spans="1:8" x14ac:dyDescent="0.25">
      <c r="A73">
        <v>240081</v>
      </c>
      <c r="B73" t="s">
        <v>32</v>
      </c>
      <c r="C73">
        <v>5</v>
      </c>
      <c r="D73" t="s">
        <v>129</v>
      </c>
      <c r="E73">
        <v>1800</v>
      </c>
      <c r="F73">
        <v>454</v>
      </c>
      <c r="G73">
        <f t="shared" si="2"/>
        <v>0.25222222222222224</v>
      </c>
      <c r="H73">
        <f t="shared" si="3"/>
        <v>0</v>
      </c>
    </row>
    <row r="74" spans="1:8" x14ac:dyDescent="0.25">
      <c r="A74">
        <v>2500413</v>
      </c>
      <c r="B74" t="s">
        <v>55</v>
      </c>
      <c r="C74">
        <v>5</v>
      </c>
      <c r="D74" t="s">
        <v>130</v>
      </c>
      <c r="E74">
        <v>2700</v>
      </c>
      <c r="F74">
        <v>1692</v>
      </c>
      <c r="G74">
        <f t="shared" si="2"/>
        <v>0.62666666666666671</v>
      </c>
      <c r="H74">
        <f t="shared" si="3"/>
        <v>0</v>
      </c>
    </row>
    <row r="75" spans="1:8" x14ac:dyDescent="0.25">
      <c r="A75">
        <v>5200303</v>
      </c>
      <c r="B75" t="s">
        <v>39</v>
      </c>
      <c r="C75">
        <v>4</v>
      </c>
      <c r="D75" t="s">
        <v>131</v>
      </c>
      <c r="E75">
        <v>5400</v>
      </c>
      <c r="F75">
        <v>514</v>
      </c>
      <c r="G75">
        <f t="shared" si="2"/>
        <v>9.5185185185185192E-2</v>
      </c>
      <c r="H75">
        <f t="shared" si="3"/>
        <v>0</v>
      </c>
    </row>
    <row r="76" spans="1:8" x14ac:dyDescent="0.25">
      <c r="A76">
        <v>240081</v>
      </c>
      <c r="B76" t="s">
        <v>32</v>
      </c>
      <c r="C76">
        <v>5</v>
      </c>
      <c r="D76" t="s">
        <v>132</v>
      </c>
      <c r="E76">
        <v>1800</v>
      </c>
      <c r="F76">
        <v>1800</v>
      </c>
      <c r="G76">
        <f t="shared" si="2"/>
        <v>1</v>
      </c>
      <c r="H76">
        <f t="shared" si="3"/>
        <v>1</v>
      </c>
    </row>
    <row r="77" spans="1:8" x14ac:dyDescent="0.25">
      <c r="A77">
        <v>5200303</v>
      </c>
      <c r="B77" t="s">
        <v>39</v>
      </c>
      <c r="C77">
        <v>4</v>
      </c>
      <c r="D77" t="s">
        <v>133</v>
      </c>
      <c r="E77">
        <v>6600</v>
      </c>
      <c r="F77">
        <v>448</v>
      </c>
      <c r="G77">
        <f t="shared" si="2"/>
        <v>6.7878787878787886E-2</v>
      </c>
      <c r="H77">
        <f t="shared" si="3"/>
        <v>0</v>
      </c>
    </row>
    <row r="78" spans="1:8" x14ac:dyDescent="0.25">
      <c r="A78">
        <v>10002697</v>
      </c>
      <c r="B78" t="s">
        <v>134</v>
      </c>
      <c r="C78">
        <v>6</v>
      </c>
      <c r="D78" t="s">
        <v>135</v>
      </c>
      <c r="E78">
        <v>6300</v>
      </c>
      <c r="F78">
        <v>138</v>
      </c>
      <c r="G78">
        <f t="shared" si="2"/>
        <v>2.1904761904761906E-2</v>
      </c>
      <c r="H78">
        <f t="shared" si="3"/>
        <v>0</v>
      </c>
    </row>
    <row r="79" spans="1:8" x14ac:dyDescent="0.25">
      <c r="A79">
        <v>90020365</v>
      </c>
      <c r="B79" t="s">
        <v>136</v>
      </c>
      <c r="C79">
        <v>525</v>
      </c>
      <c r="D79" t="s">
        <v>137</v>
      </c>
      <c r="E79">
        <v>7200</v>
      </c>
      <c r="F79">
        <v>162</v>
      </c>
      <c r="G79">
        <f t="shared" si="2"/>
        <v>2.2499999999999999E-2</v>
      </c>
      <c r="H79">
        <f t="shared" si="3"/>
        <v>0</v>
      </c>
    </row>
    <row r="80" spans="1:8" x14ac:dyDescent="0.25">
      <c r="A80">
        <v>240081</v>
      </c>
      <c r="B80" t="s">
        <v>32</v>
      </c>
      <c r="C80">
        <v>5</v>
      </c>
      <c r="D80" t="s">
        <v>138</v>
      </c>
      <c r="E80">
        <v>2400</v>
      </c>
      <c r="F80">
        <v>914</v>
      </c>
      <c r="G80">
        <f t="shared" si="2"/>
        <v>0.38083333333333336</v>
      </c>
      <c r="H80">
        <f t="shared" si="3"/>
        <v>0</v>
      </c>
    </row>
    <row r="81" spans="1:8" x14ac:dyDescent="0.25">
      <c r="A81">
        <v>90072181</v>
      </c>
      <c r="B81" t="s">
        <v>139</v>
      </c>
      <c r="C81">
        <v>1516</v>
      </c>
      <c r="D81" t="s">
        <v>140</v>
      </c>
      <c r="E81">
        <v>6300</v>
      </c>
      <c r="F81">
        <v>285</v>
      </c>
      <c r="G81">
        <f t="shared" si="2"/>
        <v>4.5238095238095237E-2</v>
      </c>
      <c r="H81">
        <f t="shared" si="3"/>
        <v>0</v>
      </c>
    </row>
    <row r="82" spans="1:8" x14ac:dyDescent="0.25">
      <c r="A82">
        <v>90060385</v>
      </c>
      <c r="B82" t="s">
        <v>141</v>
      </c>
      <c r="C82">
        <v>1520</v>
      </c>
      <c r="D82" t="s">
        <v>142</v>
      </c>
      <c r="E82">
        <v>6000</v>
      </c>
      <c r="F82">
        <v>4699</v>
      </c>
      <c r="G82">
        <f t="shared" si="2"/>
        <v>0.78316666666666668</v>
      </c>
      <c r="H82">
        <f t="shared" si="3"/>
        <v>0</v>
      </c>
    </row>
    <row r="83" spans="1:8" x14ac:dyDescent="0.25">
      <c r="A83">
        <v>90075504</v>
      </c>
      <c r="B83" t="s">
        <v>143</v>
      </c>
      <c r="C83">
        <v>1516</v>
      </c>
      <c r="D83" t="s">
        <v>144</v>
      </c>
      <c r="E83">
        <v>7500</v>
      </c>
      <c r="F83">
        <v>79</v>
      </c>
      <c r="G83">
        <f t="shared" si="2"/>
        <v>1.0533333333333334E-2</v>
      </c>
      <c r="H83">
        <f t="shared" si="3"/>
        <v>0</v>
      </c>
    </row>
    <row r="84" spans="1:8" x14ac:dyDescent="0.25">
      <c r="A84">
        <v>90072572</v>
      </c>
      <c r="B84" t="s">
        <v>145</v>
      </c>
      <c r="C84">
        <v>403</v>
      </c>
      <c r="D84" t="s">
        <v>146</v>
      </c>
      <c r="E84">
        <v>6900</v>
      </c>
      <c r="F84">
        <v>71</v>
      </c>
      <c r="G84">
        <f t="shared" si="2"/>
        <v>1.0289855072463768E-2</v>
      </c>
      <c r="H84">
        <f t="shared" si="3"/>
        <v>0</v>
      </c>
    </row>
    <row r="85" spans="1:8" x14ac:dyDescent="0.25">
      <c r="A85">
        <v>90082147</v>
      </c>
      <c r="B85" t="s">
        <v>147</v>
      </c>
      <c r="C85">
        <v>525</v>
      </c>
      <c r="D85" t="s">
        <v>148</v>
      </c>
      <c r="E85">
        <v>6300</v>
      </c>
      <c r="F85">
        <v>127</v>
      </c>
      <c r="G85">
        <f t="shared" si="2"/>
        <v>2.0158730158730157E-2</v>
      </c>
      <c r="H85">
        <f t="shared" si="3"/>
        <v>0</v>
      </c>
    </row>
    <row r="86" spans="1:8" x14ac:dyDescent="0.25">
      <c r="A86">
        <v>240081</v>
      </c>
      <c r="B86" t="s">
        <v>32</v>
      </c>
      <c r="C86">
        <v>5</v>
      </c>
      <c r="D86" t="s">
        <v>149</v>
      </c>
      <c r="E86">
        <v>300</v>
      </c>
      <c r="F86">
        <v>72</v>
      </c>
      <c r="G86">
        <f t="shared" si="2"/>
        <v>0.24</v>
      </c>
      <c r="H86">
        <f t="shared" si="3"/>
        <v>0</v>
      </c>
    </row>
    <row r="87" spans="1:8" x14ac:dyDescent="0.25">
      <c r="A87">
        <v>240081</v>
      </c>
      <c r="B87" t="s">
        <v>32</v>
      </c>
      <c r="C87">
        <v>5</v>
      </c>
      <c r="D87" t="s">
        <v>150</v>
      </c>
      <c r="E87">
        <v>600</v>
      </c>
      <c r="F87">
        <v>600</v>
      </c>
      <c r="G87">
        <f t="shared" si="2"/>
        <v>1</v>
      </c>
      <c r="H87">
        <f t="shared" si="3"/>
        <v>1</v>
      </c>
    </row>
    <row r="88" spans="1:8" x14ac:dyDescent="0.25">
      <c r="A88">
        <v>240081</v>
      </c>
      <c r="B88" t="s">
        <v>32</v>
      </c>
      <c r="C88">
        <v>5</v>
      </c>
      <c r="D88" t="s">
        <v>151</v>
      </c>
      <c r="E88">
        <v>300</v>
      </c>
      <c r="F88">
        <v>293</v>
      </c>
      <c r="G88">
        <f t="shared" si="2"/>
        <v>0.97666666666666668</v>
      </c>
      <c r="H88">
        <f t="shared" si="3"/>
        <v>1</v>
      </c>
    </row>
    <row r="89" spans="1:8" x14ac:dyDescent="0.25">
      <c r="A89">
        <v>2400508</v>
      </c>
      <c r="B89" t="s">
        <v>34</v>
      </c>
      <c r="C89">
        <v>108</v>
      </c>
      <c r="D89" t="s">
        <v>152</v>
      </c>
      <c r="E89">
        <v>900</v>
      </c>
      <c r="F89">
        <v>85</v>
      </c>
      <c r="G89">
        <f t="shared" si="2"/>
        <v>9.4444444444444442E-2</v>
      </c>
      <c r="H89">
        <f t="shared" si="3"/>
        <v>0</v>
      </c>
    </row>
    <row r="90" spans="1:8" x14ac:dyDescent="0.25">
      <c r="A90">
        <v>5900256</v>
      </c>
      <c r="B90" t="s">
        <v>46</v>
      </c>
      <c r="C90">
        <v>108</v>
      </c>
      <c r="D90" t="s">
        <v>153</v>
      </c>
      <c r="E90">
        <v>2700</v>
      </c>
      <c r="F90">
        <v>131</v>
      </c>
      <c r="G90">
        <f t="shared" si="2"/>
        <v>4.8518518518518516E-2</v>
      </c>
      <c r="H90">
        <f t="shared" si="3"/>
        <v>0</v>
      </c>
    </row>
    <row r="91" spans="1:8" x14ac:dyDescent="0.25">
      <c r="A91">
        <v>1100411</v>
      </c>
      <c r="B91" t="s">
        <v>36</v>
      </c>
      <c r="C91">
        <v>4</v>
      </c>
      <c r="D91" t="s">
        <v>154</v>
      </c>
      <c r="E91">
        <v>9900</v>
      </c>
      <c r="F91">
        <v>83</v>
      </c>
      <c r="G91">
        <f t="shared" si="2"/>
        <v>8.383838383838384E-3</v>
      </c>
      <c r="H91">
        <f t="shared" si="3"/>
        <v>0</v>
      </c>
    </row>
    <row r="92" spans="1:8" x14ac:dyDescent="0.25">
      <c r="A92">
        <v>1100411</v>
      </c>
      <c r="B92" t="s">
        <v>36</v>
      </c>
      <c r="C92">
        <v>4</v>
      </c>
      <c r="D92" t="s">
        <v>155</v>
      </c>
      <c r="E92">
        <v>9900</v>
      </c>
      <c r="F92">
        <v>5170</v>
      </c>
      <c r="G92">
        <f t="shared" si="2"/>
        <v>0.52222222222222225</v>
      </c>
      <c r="H92">
        <f t="shared" si="3"/>
        <v>0</v>
      </c>
    </row>
    <row r="93" spans="1:8" x14ac:dyDescent="0.25">
      <c r="A93">
        <v>2400467</v>
      </c>
      <c r="B93" t="s">
        <v>30</v>
      </c>
      <c r="C93">
        <v>6</v>
      </c>
      <c r="D93" t="s">
        <v>156</v>
      </c>
      <c r="E93">
        <v>1200</v>
      </c>
      <c r="F93">
        <v>289</v>
      </c>
      <c r="G93">
        <f t="shared" si="2"/>
        <v>0.24083333333333334</v>
      </c>
      <c r="H93">
        <f t="shared" si="3"/>
        <v>0</v>
      </c>
    </row>
    <row r="94" spans="1:8" x14ac:dyDescent="0.25">
      <c r="A94">
        <v>1100411</v>
      </c>
      <c r="B94" t="s">
        <v>36</v>
      </c>
      <c r="C94">
        <v>4</v>
      </c>
      <c r="D94" t="s">
        <v>157</v>
      </c>
      <c r="E94">
        <v>3900</v>
      </c>
      <c r="F94">
        <v>301</v>
      </c>
      <c r="G94">
        <f t="shared" si="2"/>
        <v>7.717948717948718E-2</v>
      </c>
      <c r="H94">
        <f t="shared" si="3"/>
        <v>0</v>
      </c>
    </row>
    <row r="95" spans="1:8" x14ac:dyDescent="0.25">
      <c r="A95">
        <v>90076899</v>
      </c>
      <c r="B95" t="s">
        <v>158</v>
      </c>
      <c r="C95">
        <v>5</v>
      </c>
      <c r="D95" t="s">
        <v>159</v>
      </c>
      <c r="E95">
        <v>6900</v>
      </c>
      <c r="F95">
        <v>170</v>
      </c>
      <c r="G95">
        <f t="shared" si="2"/>
        <v>2.4637681159420291E-2</v>
      </c>
      <c r="H95">
        <f t="shared" si="3"/>
        <v>0</v>
      </c>
    </row>
    <row r="96" spans="1:8" x14ac:dyDescent="0.25">
      <c r="A96">
        <v>2400467</v>
      </c>
      <c r="B96" t="s">
        <v>30</v>
      </c>
      <c r="C96">
        <v>6</v>
      </c>
      <c r="D96" t="s">
        <v>160</v>
      </c>
      <c r="E96">
        <v>2700</v>
      </c>
      <c r="F96">
        <v>1928</v>
      </c>
      <c r="G96">
        <f t="shared" si="2"/>
        <v>0.71407407407407408</v>
      </c>
      <c r="H96">
        <f t="shared" si="3"/>
        <v>0</v>
      </c>
    </row>
    <row r="97" spans="1:8" x14ac:dyDescent="0.25">
      <c r="A97">
        <v>240081</v>
      </c>
      <c r="B97" t="s">
        <v>32</v>
      </c>
      <c r="C97">
        <v>5</v>
      </c>
      <c r="D97" t="s">
        <v>161</v>
      </c>
      <c r="E97">
        <v>1500</v>
      </c>
      <c r="F97">
        <v>1500</v>
      </c>
      <c r="G97">
        <f t="shared" si="2"/>
        <v>1</v>
      </c>
      <c r="H97">
        <f t="shared" si="3"/>
        <v>1</v>
      </c>
    </row>
    <row r="98" spans="1:8" x14ac:dyDescent="0.25">
      <c r="A98">
        <v>500281</v>
      </c>
      <c r="B98" t="s">
        <v>162</v>
      </c>
      <c r="C98">
        <v>108</v>
      </c>
      <c r="D98" t="s">
        <v>163</v>
      </c>
      <c r="E98">
        <v>3000</v>
      </c>
      <c r="F98">
        <v>247</v>
      </c>
      <c r="G98">
        <f t="shared" si="2"/>
        <v>8.2333333333333328E-2</v>
      </c>
      <c r="H98">
        <f t="shared" si="3"/>
        <v>0</v>
      </c>
    </row>
    <row r="99" spans="1:8" x14ac:dyDescent="0.25">
      <c r="A99">
        <v>500346</v>
      </c>
      <c r="B99" t="s">
        <v>164</v>
      </c>
      <c r="C99">
        <v>3</v>
      </c>
      <c r="D99" t="s">
        <v>165</v>
      </c>
      <c r="E99">
        <v>8100</v>
      </c>
      <c r="F99">
        <v>235</v>
      </c>
      <c r="G99">
        <f t="shared" si="2"/>
        <v>2.9012345679012345E-2</v>
      </c>
      <c r="H99">
        <f t="shared" si="3"/>
        <v>0</v>
      </c>
    </row>
    <row r="100" spans="1:8" x14ac:dyDescent="0.25">
      <c r="A100">
        <v>90065489</v>
      </c>
      <c r="B100" t="s">
        <v>166</v>
      </c>
      <c r="C100">
        <v>5</v>
      </c>
      <c r="D100" t="s">
        <v>167</v>
      </c>
      <c r="E100">
        <v>6300</v>
      </c>
      <c r="F100">
        <v>76</v>
      </c>
      <c r="G100">
        <f t="shared" si="2"/>
        <v>1.2063492063492064E-2</v>
      </c>
      <c r="H100">
        <f t="shared" si="3"/>
        <v>0</v>
      </c>
    </row>
    <row r="101" spans="1:8" x14ac:dyDescent="0.25">
      <c r="A101">
        <v>5200303</v>
      </c>
      <c r="B101" t="s">
        <v>39</v>
      </c>
      <c r="C101">
        <v>4</v>
      </c>
      <c r="D101" t="s">
        <v>168</v>
      </c>
      <c r="E101">
        <v>5700</v>
      </c>
      <c r="F101">
        <v>4653</v>
      </c>
      <c r="G101">
        <f t="shared" si="2"/>
        <v>0.81631578947368422</v>
      </c>
      <c r="H101">
        <f t="shared" si="3"/>
        <v>1</v>
      </c>
    </row>
    <row r="102" spans="1:8" x14ac:dyDescent="0.25">
      <c r="A102">
        <v>5900256</v>
      </c>
      <c r="B102" t="s">
        <v>46</v>
      </c>
      <c r="C102">
        <v>108</v>
      </c>
      <c r="D102" t="s">
        <v>169</v>
      </c>
      <c r="E102">
        <v>1800</v>
      </c>
      <c r="F102">
        <v>64</v>
      </c>
      <c r="G102">
        <f t="shared" si="2"/>
        <v>3.5555555555555556E-2</v>
      </c>
      <c r="H102">
        <f t="shared" si="3"/>
        <v>0</v>
      </c>
    </row>
    <row r="103" spans="1:8" x14ac:dyDescent="0.25">
      <c r="A103">
        <v>5900256</v>
      </c>
      <c r="B103" t="s">
        <v>46</v>
      </c>
      <c r="C103">
        <v>108</v>
      </c>
      <c r="D103" t="s">
        <v>170</v>
      </c>
      <c r="E103">
        <v>3000</v>
      </c>
      <c r="F103">
        <v>905</v>
      </c>
      <c r="G103">
        <f t="shared" si="2"/>
        <v>0.30166666666666669</v>
      </c>
      <c r="H103">
        <f t="shared" si="3"/>
        <v>0</v>
      </c>
    </row>
    <row r="104" spans="1:8" x14ac:dyDescent="0.25">
      <c r="A104">
        <v>2400508</v>
      </c>
      <c r="B104" t="s">
        <v>34</v>
      </c>
      <c r="C104">
        <v>108</v>
      </c>
      <c r="D104" t="s">
        <v>171</v>
      </c>
      <c r="E104">
        <v>900</v>
      </c>
      <c r="F104">
        <v>1101</v>
      </c>
      <c r="G104">
        <f t="shared" si="2"/>
        <v>1</v>
      </c>
      <c r="H104">
        <f t="shared" si="3"/>
        <v>1</v>
      </c>
    </row>
    <row r="105" spans="1:8" x14ac:dyDescent="0.25">
      <c r="A105">
        <v>5900256</v>
      </c>
      <c r="B105" t="s">
        <v>46</v>
      </c>
      <c r="C105">
        <v>108</v>
      </c>
      <c r="D105" t="s">
        <v>172</v>
      </c>
      <c r="E105">
        <v>2700</v>
      </c>
      <c r="F105">
        <v>2152</v>
      </c>
      <c r="G105">
        <f t="shared" si="2"/>
        <v>0.79703703703703699</v>
      </c>
      <c r="H105">
        <f t="shared" si="3"/>
        <v>0</v>
      </c>
    </row>
    <row r="106" spans="1:8" x14ac:dyDescent="0.25">
      <c r="A106">
        <v>90054583</v>
      </c>
      <c r="B106" t="s">
        <v>173</v>
      </c>
      <c r="C106">
        <v>1519</v>
      </c>
      <c r="D106" t="s">
        <v>174</v>
      </c>
      <c r="E106">
        <v>6000</v>
      </c>
      <c r="F106">
        <v>2667</v>
      </c>
      <c r="G106">
        <f t="shared" si="2"/>
        <v>0.44450000000000001</v>
      </c>
      <c r="H106">
        <f t="shared" si="3"/>
        <v>0</v>
      </c>
    </row>
    <row r="107" spans="1:8" x14ac:dyDescent="0.25">
      <c r="A107">
        <v>90077931</v>
      </c>
      <c r="B107" t="s">
        <v>175</v>
      </c>
      <c r="C107">
        <v>1516</v>
      </c>
      <c r="D107" t="s">
        <v>176</v>
      </c>
      <c r="E107">
        <v>6300</v>
      </c>
      <c r="F107">
        <v>2159</v>
      </c>
      <c r="G107">
        <f t="shared" si="2"/>
        <v>0.34269841269841272</v>
      </c>
      <c r="H107">
        <f t="shared" si="3"/>
        <v>0</v>
      </c>
    </row>
    <row r="108" spans="1:8" x14ac:dyDescent="0.25">
      <c r="A108">
        <v>90081922</v>
      </c>
      <c r="B108" t="s">
        <v>177</v>
      </c>
      <c r="C108">
        <v>4</v>
      </c>
      <c r="D108" t="s">
        <v>178</v>
      </c>
      <c r="E108">
        <v>9000</v>
      </c>
      <c r="F108">
        <v>874</v>
      </c>
      <c r="G108">
        <f t="shared" si="2"/>
        <v>9.7111111111111106E-2</v>
      </c>
      <c r="H108">
        <f t="shared" si="3"/>
        <v>0</v>
      </c>
    </row>
    <row r="109" spans="1:8" x14ac:dyDescent="0.25">
      <c r="A109">
        <v>90043765</v>
      </c>
      <c r="B109" t="s">
        <v>179</v>
      </c>
      <c r="C109">
        <v>92</v>
      </c>
      <c r="D109" t="s">
        <v>180</v>
      </c>
      <c r="E109">
        <v>5700</v>
      </c>
      <c r="F109">
        <v>305</v>
      </c>
      <c r="G109">
        <f t="shared" si="2"/>
        <v>5.3508771929824561E-2</v>
      </c>
      <c r="H109">
        <f t="shared" si="3"/>
        <v>0</v>
      </c>
    </row>
    <row r="110" spans="1:8" x14ac:dyDescent="0.25">
      <c r="A110">
        <v>90025676</v>
      </c>
      <c r="B110" t="s">
        <v>181</v>
      </c>
      <c r="C110">
        <v>92</v>
      </c>
      <c r="D110" t="s">
        <v>182</v>
      </c>
      <c r="E110">
        <v>7200</v>
      </c>
      <c r="F110">
        <v>308</v>
      </c>
      <c r="G110">
        <f t="shared" si="2"/>
        <v>4.2777777777777776E-2</v>
      </c>
      <c r="H110">
        <f t="shared" si="3"/>
        <v>0</v>
      </c>
    </row>
    <row r="111" spans="1:8" x14ac:dyDescent="0.25">
      <c r="A111">
        <v>5200303</v>
      </c>
      <c r="B111" t="s">
        <v>39</v>
      </c>
      <c r="C111">
        <v>4</v>
      </c>
      <c r="D111" t="s">
        <v>183</v>
      </c>
      <c r="E111">
        <v>5700</v>
      </c>
      <c r="F111">
        <v>1593</v>
      </c>
      <c r="G111">
        <f t="shared" si="2"/>
        <v>0.27947368421052632</v>
      </c>
      <c r="H111">
        <f t="shared" si="3"/>
        <v>0</v>
      </c>
    </row>
    <row r="112" spans="1:8" x14ac:dyDescent="0.25">
      <c r="A112">
        <v>90082254</v>
      </c>
      <c r="B112" t="s">
        <v>184</v>
      </c>
      <c r="C112">
        <v>1519</v>
      </c>
      <c r="D112" t="s">
        <v>185</v>
      </c>
      <c r="E112">
        <v>6300</v>
      </c>
      <c r="F112">
        <v>134</v>
      </c>
      <c r="G112">
        <f t="shared" si="2"/>
        <v>2.1269841269841269E-2</v>
      </c>
      <c r="H112">
        <f t="shared" si="3"/>
        <v>0</v>
      </c>
    </row>
    <row r="113" spans="1:8" x14ac:dyDescent="0.25">
      <c r="A113">
        <v>240081</v>
      </c>
      <c r="B113" t="s">
        <v>32</v>
      </c>
      <c r="C113">
        <v>5</v>
      </c>
      <c r="D113" t="s">
        <v>186</v>
      </c>
      <c r="E113">
        <v>300</v>
      </c>
      <c r="F113">
        <v>146</v>
      </c>
      <c r="G113">
        <f t="shared" si="2"/>
        <v>0.48666666666666669</v>
      </c>
      <c r="H113">
        <f t="shared" si="3"/>
        <v>0</v>
      </c>
    </row>
    <row r="114" spans="1:8" x14ac:dyDescent="0.25">
      <c r="A114">
        <v>1100411</v>
      </c>
      <c r="B114" t="s">
        <v>36</v>
      </c>
      <c r="C114">
        <v>4</v>
      </c>
      <c r="D114" t="s">
        <v>187</v>
      </c>
      <c r="E114">
        <v>9900</v>
      </c>
      <c r="F114">
        <v>6006</v>
      </c>
      <c r="G114">
        <f t="shared" si="2"/>
        <v>0.60666666666666669</v>
      </c>
      <c r="H114">
        <f t="shared" si="3"/>
        <v>0</v>
      </c>
    </row>
    <row r="115" spans="1:8" x14ac:dyDescent="0.25">
      <c r="A115">
        <v>1100411</v>
      </c>
      <c r="B115" t="s">
        <v>36</v>
      </c>
      <c r="C115">
        <v>4</v>
      </c>
      <c r="D115" t="s">
        <v>188</v>
      </c>
      <c r="E115">
        <v>3900</v>
      </c>
      <c r="F115">
        <v>3254</v>
      </c>
      <c r="G115">
        <f t="shared" si="2"/>
        <v>0.83435897435897433</v>
      </c>
      <c r="H115">
        <f t="shared" si="3"/>
        <v>1</v>
      </c>
    </row>
    <row r="116" spans="1:8" x14ac:dyDescent="0.25">
      <c r="A116">
        <v>2400480</v>
      </c>
      <c r="B116" t="s">
        <v>59</v>
      </c>
      <c r="C116">
        <v>3</v>
      </c>
      <c r="D116" t="s">
        <v>189</v>
      </c>
      <c r="E116">
        <v>1500</v>
      </c>
      <c r="F116">
        <v>307</v>
      </c>
      <c r="G116">
        <f t="shared" si="2"/>
        <v>0.20466666666666666</v>
      </c>
      <c r="H116">
        <f t="shared" si="3"/>
        <v>0</v>
      </c>
    </row>
    <row r="117" spans="1:8" x14ac:dyDescent="0.25">
      <c r="A117">
        <v>2400467</v>
      </c>
      <c r="B117" t="s">
        <v>30</v>
      </c>
      <c r="C117">
        <v>6</v>
      </c>
      <c r="D117" t="s">
        <v>190</v>
      </c>
      <c r="E117">
        <v>2400</v>
      </c>
      <c r="F117">
        <v>2039</v>
      </c>
      <c r="G117">
        <f t="shared" si="2"/>
        <v>0.84958333333333336</v>
      </c>
      <c r="H117">
        <f t="shared" si="3"/>
        <v>1</v>
      </c>
    </row>
    <row r="118" spans="1:8" x14ac:dyDescent="0.25">
      <c r="A118">
        <v>240081</v>
      </c>
      <c r="B118" t="s">
        <v>32</v>
      </c>
      <c r="C118">
        <v>5</v>
      </c>
      <c r="D118" t="s">
        <v>191</v>
      </c>
      <c r="E118">
        <v>1500</v>
      </c>
      <c r="F118">
        <v>521</v>
      </c>
      <c r="G118">
        <f t="shared" si="2"/>
        <v>0.34733333333333333</v>
      </c>
      <c r="H118">
        <f t="shared" si="3"/>
        <v>0</v>
      </c>
    </row>
    <row r="119" spans="1:8" x14ac:dyDescent="0.25">
      <c r="A119">
        <v>2400480</v>
      </c>
      <c r="B119" t="s">
        <v>59</v>
      </c>
      <c r="C119">
        <v>3</v>
      </c>
      <c r="D119" t="s">
        <v>192</v>
      </c>
      <c r="E119">
        <v>4500</v>
      </c>
      <c r="F119">
        <v>1491</v>
      </c>
      <c r="G119">
        <f t="shared" si="2"/>
        <v>0.33133333333333331</v>
      </c>
      <c r="H119">
        <f t="shared" si="3"/>
        <v>0</v>
      </c>
    </row>
    <row r="120" spans="1:8" x14ac:dyDescent="0.25">
      <c r="A120">
        <v>90053172</v>
      </c>
      <c r="B120" t="s">
        <v>193</v>
      </c>
      <c r="C120">
        <v>1520</v>
      </c>
      <c r="D120" t="s">
        <v>194</v>
      </c>
      <c r="E120">
        <v>5700</v>
      </c>
      <c r="F120">
        <v>119</v>
      </c>
      <c r="G120">
        <f t="shared" si="2"/>
        <v>2.087719298245614E-2</v>
      </c>
      <c r="H120">
        <f t="shared" si="3"/>
        <v>0</v>
      </c>
    </row>
    <row r="121" spans="1:8" x14ac:dyDescent="0.25">
      <c r="A121">
        <v>240081</v>
      </c>
      <c r="B121" t="s">
        <v>32</v>
      </c>
      <c r="C121">
        <v>5</v>
      </c>
      <c r="D121" t="s">
        <v>195</v>
      </c>
      <c r="E121">
        <v>1200</v>
      </c>
      <c r="F121">
        <v>70</v>
      </c>
      <c r="G121">
        <f t="shared" si="2"/>
        <v>5.8333333333333334E-2</v>
      </c>
      <c r="H121">
        <f t="shared" si="3"/>
        <v>0</v>
      </c>
    </row>
    <row r="122" spans="1:8" x14ac:dyDescent="0.25">
      <c r="A122">
        <v>90071919</v>
      </c>
      <c r="B122" t="s">
        <v>196</v>
      </c>
      <c r="C122">
        <v>1516</v>
      </c>
      <c r="D122" t="s">
        <v>197</v>
      </c>
      <c r="E122">
        <v>7200</v>
      </c>
      <c r="F122">
        <v>822</v>
      </c>
      <c r="G122">
        <f t="shared" si="2"/>
        <v>0.11416666666666667</v>
      </c>
      <c r="H122">
        <f t="shared" si="3"/>
        <v>0</v>
      </c>
    </row>
    <row r="123" spans="1:8" x14ac:dyDescent="0.25">
      <c r="A123">
        <v>5200303</v>
      </c>
      <c r="B123" t="s">
        <v>39</v>
      </c>
      <c r="C123">
        <v>4</v>
      </c>
      <c r="D123" t="s">
        <v>198</v>
      </c>
      <c r="E123">
        <v>5700</v>
      </c>
      <c r="F123">
        <v>4463</v>
      </c>
      <c r="G123">
        <f t="shared" si="2"/>
        <v>0.78298245614035089</v>
      </c>
      <c r="H123">
        <f t="shared" si="3"/>
        <v>0</v>
      </c>
    </row>
    <row r="124" spans="1:8" x14ac:dyDescent="0.25">
      <c r="A124">
        <v>90082350</v>
      </c>
      <c r="B124" t="s">
        <v>199</v>
      </c>
      <c r="C124">
        <v>1528</v>
      </c>
      <c r="D124" t="s">
        <v>200</v>
      </c>
      <c r="E124">
        <v>6600</v>
      </c>
      <c r="F124">
        <v>149</v>
      </c>
      <c r="G124">
        <f t="shared" si="2"/>
        <v>2.2575757575757575E-2</v>
      </c>
      <c r="H124">
        <f t="shared" si="3"/>
        <v>0</v>
      </c>
    </row>
    <row r="125" spans="1:8" x14ac:dyDescent="0.25">
      <c r="A125">
        <v>200405</v>
      </c>
      <c r="B125" t="s">
        <v>62</v>
      </c>
      <c r="C125">
        <v>843</v>
      </c>
      <c r="D125" t="s">
        <v>201</v>
      </c>
      <c r="E125">
        <v>3600</v>
      </c>
      <c r="F125">
        <v>1347</v>
      </c>
      <c r="G125">
        <f t="shared" si="2"/>
        <v>0.37416666666666665</v>
      </c>
      <c r="H125">
        <f t="shared" si="3"/>
        <v>0</v>
      </c>
    </row>
    <row r="126" spans="1:8" x14ac:dyDescent="0.25">
      <c r="A126">
        <v>2400480</v>
      </c>
      <c r="B126" t="s">
        <v>59</v>
      </c>
      <c r="C126">
        <v>3</v>
      </c>
      <c r="D126" t="s">
        <v>202</v>
      </c>
      <c r="E126">
        <v>4500</v>
      </c>
      <c r="F126">
        <v>123</v>
      </c>
      <c r="G126">
        <f t="shared" si="2"/>
        <v>2.7333333333333334E-2</v>
      </c>
      <c r="H126">
        <f t="shared" si="3"/>
        <v>0</v>
      </c>
    </row>
    <row r="127" spans="1:8" x14ac:dyDescent="0.25">
      <c r="A127">
        <v>90044218</v>
      </c>
      <c r="B127" t="s">
        <v>203</v>
      </c>
      <c r="C127">
        <v>1519</v>
      </c>
      <c r="D127" t="s">
        <v>204</v>
      </c>
      <c r="E127">
        <v>7200</v>
      </c>
      <c r="F127">
        <v>508</v>
      </c>
      <c r="G127">
        <f t="shared" si="2"/>
        <v>7.0555555555555552E-2</v>
      </c>
      <c r="H127">
        <f t="shared" si="3"/>
        <v>0</v>
      </c>
    </row>
    <row r="128" spans="1:8" x14ac:dyDescent="0.25">
      <c r="A128">
        <v>90041648</v>
      </c>
      <c r="B128" t="s">
        <v>205</v>
      </c>
      <c r="C128">
        <v>212</v>
      </c>
      <c r="D128" t="s">
        <v>206</v>
      </c>
      <c r="E128">
        <v>6300</v>
      </c>
      <c r="F128">
        <v>297</v>
      </c>
      <c r="G128">
        <f t="shared" si="2"/>
        <v>4.7142857142857146E-2</v>
      </c>
      <c r="H128">
        <f t="shared" si="3"/>
        <v>0</v>
      </c>
    </row>
    <row r="129" spans="1:8" x14ac:dyDescent="0.25">
      <c r="A129">
        <v>200405</v>
      </c>
      <c r="B129" t="s">
        <v>62</v>
      </c>
      <c r="C129">
        <v>843</v>
      </c>
      <c r="D129" t="s">
        <v>207</v>
      </c>
      <c r="E129">
        <v>3600</v>
      </c>
      <c r="F129">
        <v>602</v>
      </c>
      <c r="G129">
        <f t="shared" si="2"/>
        <v>0.16722222222222222</v>
      </c>
      <c r="H129">
        <f t="shared" si="3"/>
        <v>0</v>
      </c>
    </row>
    <row r="130" spans="1:8" x14ac:dyDescent="0.25">
      <c r="A130">
        <v>6500479</v>
      </c>
      <c r="B130" t="s">
        <v>121</v>
      </c>
      <c r="C130">
        <v>3</v>
      </c>
      <c r="D130" t="s">
        <v>208</v>
      </c>
      <c r="E130">
        <v>27000</v>
      </c>
      <c r="F130">
        <v>152</v>
      </c>
      <c r="G130">
        <f t="shared" ref="G130:G193" si="4">MIN(F130/E130,1)</f>
        <v>5.6296296296296294E-3</v>
      </c>
      <c r="H130">
        <f t="shared" ref="H130:H193" si="5">IF(G130&gt;=0.8,1,0)</f>
        <v>0</v>
      </c>
    </row>
    <row r="131" spans="1:8" x14ac:dyDescent="0.25">
      <c r="A131">
        <v>90014901</v>
      </c>
      <c r="B131" t="s">
        <v>209</v>
      </c>
      <c r="C131">
        <v>805</v>
      </c>
      <c r="D131" t="s">
        <v>210</v>
      </c>
      <c r="E131">
        <v>7800</v>
      </c>
      <c r="F131">
        <v>145</v>
      </c>
      <c r="G131">
        <f t="shared" si="4"/>
        <v>1.858974358974359E-2</v>
      </c>
      <c r="H131">
        <f t="shared" si="5"/>
        <v>0</v>
      </c>
    </row>
    <row r="132" spans="1:8" x14ac:dyDescent="0.25">
      <c r="A132">
        <v>90080832</v>
      </c>
      <c r="B132" t="s">
        <v>211</v>
      </c>
      <c r="C132">
        <v>1521</v>
      </c>
      <c r="D132" t="s">
        <v>212</v>
      </c>
      <c r="E132">
        <v>6000</v>
      </c>
      <c r="F132">
        <v>529</v>
      </c>
      <c r="G132">
        <f t="shared" si="4"/>
        <v>8.8166666666666671E-2</v>
      </c>
      <c r="H132">
        <f t="shared" si="5"/>
        <v>0</v>
      </c>
    </row>
    <row r="133" spans="1:8" x14ac:dyDescent="0.25">
      <c r="A133">
        <v>2400508</v>
      </c>
      <c r="B133" t="s">
        <v>34</v>
      </c>
      <c r="C133">
        <v>108</v>
      </c>
      <c r="D133" t="s">
        <v>213</v>
      </c>
      <c r="E133">
        <v>1200</v>
      </c>
      <c r="F133">
        <v>45</v>
      </c>
      <c r="G133">
        <f t="shared" si="4"/>
        <v>3.7499999999999999E-2</v>
      </c>
      <c r="H133">
        <f t="shared" si="5"/>
        <v>0</v>
      </c>
    </row>
    <row r="134" spans="1:8" x14ac:dyDescent="0.25">
      <c r="A134">
        <v>2400480</v>
      </c>
      <c r="B134" t="s">
        <v>59</v>
      </c>
      <c r="C134">
        <v>740</v>
      </c>
      <c r="D134" t="s">
        <v>214</v>
      </c>
      <c r="E134">
        <v>3000</v>
      </c>
      <c r="F134">
        <v>68</v>
      </c>
      <c r="G134">
        <f t="shared" si="4"/>
        <v>2.2666666666666668E-2</v>
      </c>
      <c r="H134">
        <f t="shared" si="5"/>
        <v>0</v>
      </c>
    </row>
    <row r="135" spans="1:8" x14ac:dyDescent="0.25">
      <c r="A135">
        <v>90072572</v>
      </c>
      <c r="B135" t="s">
        <v>145</v>
      </c>
      <c r="C135">
        <v>1519</v>
      </c>
      <c r="D135" t="s">
        <v>215</v>
      </c>
      <c r="E135">
        <v>7200</v>
      </c>
      <c r="F135">
        <v>4154</v>
      </c>
      <c r="G135">
        <f t="shared" si="4"/>
        <v>0.57694444444444448</v>
      </c>
      <c r="H135">
        <f t="shared" si="5"/>
        <v>0</v>
      </c>
    </row>
    <row r="136" spans="1:8" x14ac:dyDescent="0.25">
      <c r="A136">
        <v>240081</v>
      </c>
      <c r="B136" t="s">
        <v>32</v>
      </c>
      <c r="C136">
        <v>5</v>
      </c>
      <c r="D136" t="s">
        <v>216</v>
      </c>
      <c r="E136">
        <v>1500</v>
      </c>
      <c r="F136">
        <v>1210</v>
      </c>
      <c r="G136">
        <f t="shared" si="4"/>
        <v>0.80666666666666664</v>
      </c>
      <c r="H136">
        <f t="shared" si="5"/>
        <v>1</v>
      </c>
    </row>
    <row r="137" spans="1:8" x14ac:dyDescent="0.25">
      <c r="A137">
        <v>2400508</v>
      </c>
      <c r="B137" t="s">
        <v>34</v>
      </c>
      <c r="C137">
        <v>108</v>
      </c>
      <c r="D137" t="s">
        <v>217</v>
      </c>
      <c r="E137">
        <v>3600</v>
      </c>
      <c r="F137">
        <v>705</v>
      </c>
      <c r="G137">
        <f t="shared" si="4"/>
        <v>0.19583333333333333</v>
      </c>
      <c r="H137">
        <f t="shared" si="5"/>
        <v>0</v>
      </c>
    </row>
    <row r="138" spans="1:8" x14ac:dyDescent="0.25">
      <c r="A138">
        <v>90057308</v>
      </c>
      <c r="B138" t="s">
        <v>218</v>
      </c>
      <c r="C138">
        <v>5</v>
      </c>
      <c r="D138" t="s">
        <v>219</v>
      </c>
      <c r="E138">
        <v>8700</v>
      </c>
      <c r="F138">
        <v>124</v>
      </c>
      <c r="G138">
        <f t="shared" si="4"/>
        <v>1.4252873563218391E-2</v>
      </c>
      <c r="H138">
        <f t="shared" si="5"/>
        <v>0</v>
      </c>
    </row>
    <row r="139" spans="1:8" x14ac:dyDescent="0.25">
      <c r="A139">
        <v>90068760</v>
      </c>
      <c r="B139" t="s">
        <v>220</v>
      </c>
      <c r="C139">
        <v>1519</v>
      </c>
      <c r="D139" t="s">
        <v>221</v>
      </c>
      <c r="E139">
        <v>5700</v>
      </c>
      <c r="F139">
        <v>80</v>
      </c>
      <c r="G139">
        <f t="shared" si="4"/>
        <v>1.4035087719298246E-2</v>
      </c>
      <c r="H139">
        <f t="shared" si="5"/>
        <v>0</v>
      </c>
    </row>
    <row r="140" spans="1:8" x14ac:dyDescent="0.25">
      <c r="A140">
        <v>2400480</v>
      </c>
      <c r="B140" t="s">
        <v>59</v>
      </c>
      <c r="C140">
        <v>3</v>
      </c>
      <c r="D140" t="s">
        <v>222</v>
      </c>
      <c r="E140">
        <v>2700</v>
      </c>
      <c r="F140">
        <v>282</v>
      </c>
      <c r="G140">
        <f t="shared" si="4"/>
        <v>0.10444444444444445</v>
      </c>
      <c r="H140">
        <f t="shared" si="5"/>
        <v>0</v>
      </c>
    </row>
    <row r="141" spans="1:8" x14ac:dyDescent="0.25">
      <c r="A141">
        <v>2500507</v>
      </c>
      <c r="B141" t="s">
        <v>113</v>
      </c>
      <c r="C141">
        <v>108</v>
      </c>
      <c r="D141" t="s">
        <v>223</v>
      </c>
      <c r="E141">
        <v>3600</v>
      </c>
      <c r="F141">
        <v>95</v>
      </c>
      <c r="G141">
        <f t="shared" si="4"/>
        <v>2.6388888888888889E-2</v>
      </c>
      <c r="H141">
        <f t="shared" si="5"/>
        <v>0</v>
      </c>
    </row>
    <row r="142" spans="1:8" x14ac:dyDescent="0.25">
      <c r="A142">
        <v>200352</v>
      </c>
      <c r="B142" t="s">
        <v>224</v>
      </c>
      <c r="C142">
        <v>3</v>
      </c>
      <c r="D142" t="s">
        <v>225</v>
      </c>
      <c r="E142">
        <v>10500</v>
      </c>
      <c r="F142">
        <v>207</v>
      </c>
      <c r="G142">
        <f t="shared" si="4"/>
        <v>1.9714285714285715E-2</v>
      </c>
      <c r="H142">
        <f t="shared" si="5"/>
        <v>0</v>
      </c>
    </row>
    <row r="143" spans="1:8" x14ac:dyDescent="0.25">
      <c r="A143">
        <v>90076295</v>
      </c>
      <c r="B143" t="s">
        <v>226</v>
      </c>
      <c r="C143">
        <v>5</v>
      </c>
      <c r="D143" t="s">
        <v>227</v>
      </c>
      <c r="E143">
        <v>6600</v>
      </c>
      <c r="F143">
        <v>449</v>
      </c>
      <c r="G143">
        <f t="shared" si="4"/>
        <v>6.8030303030303024E-2</v>
      </c>
      <c r="H143">
        <f t="shared" si="5"/>
        <v>0</v>
      </c>
    </row>
    <row r="144" spans="1:8" x14ac:dyDescent="0.25">
      <c r="A144">
        <v>90063209</v>
      </c>
      <c r="B144" t="s">
        <v>228</v>
      </c>
      <c r="C144">
        <v>1519</v>
      </c>
      <c r="D144" t="s">
        <v>229</v>
      </c>
      <c r="E144">
        <v>6000</v>
      </c>
      <c r="F144">
        <v>646</v>
      </c>
      <c r="G144">
        <f t="shared" si="4"/>
        <v>0.10766666666666666</v>
      </c>
      <c r="H144">
        <f t="shared" si="5"/>
        <v>0</v>
      </c>
    </row>
    <row r="145" spans="1:8" x14ac:dyDescent="0.25">
      <c r="A145">
        <v>90056386</v>
      </c>
      <c r="B145" t="s">
        <v>230</v>
      </c>
      <c r="C145">
        <v>1516</v>
      </c>
      <c r="D145" t="s">
        <v>231</v>
      </c>
      <c r="E145">
        <v>5400</v>
      </c>
      <c r="F145">
        <v>140</v>
      </c>
      <c r="G145">
        <f t="shared" si="4"/>
        <v>2.5925925925925925E-2</v>
      </c>
      <c r="H145">
        <f t="shared" si="5"/>
        <v>0</v>
      </c>
    </row>
    <row r="146" spans="1:8" x14ac:dyDescent="0.25">
      <c r="A146">
        <v>90079132</v>
      </c>
      <c r="B146" t="s">
        <v>232</v>
      </c>
      <c r="C146">
        <v>1020</v>
      </c>
      <c r="D146" t="s">
        <v>231</v>
      </c>
      <c r="E146">
        <v>5400</v>
      </c>
      <c r="F146">
        <v>802</v>
      </c>
      <c r="G146">
        <f t="shared" si="4"/>
        <v>0.14851851851851852</v>
      </c>
      <c r="H146">
        <f t="shared" si="5"/>
        <v>0</v>
      </c>
    </row>
    <row r="147" spans="1:8" x14ac:dyDescent="0.25">
      <c r="A147">
        <v>90078767</v>
      </c>
      <c r="B147" t="s">
        <v>233</v>
      </c>
      <c r="C147">
        <v>7</v>
      </c>
      <c r="D147" t="s">
        <v>234</v>
      </c>
      <c r="E147">
        <v>9300</v>
      </c>
      <c r="F147">
        <v>4317</v>
      </c>
      <c r="G147">
        <f t="shared" si="4"/>
        <v>0.46419354838709675</v>
      </c>
      <c r="H147">
        <f t="shared" si="5"/>
        <v>0</v>
      </c>
    </row>
    <row r="148" spans="1:8" x14ac:dyDescent="0.25">
      <c r="A148">
        <v>90072474</v>
      </c>
      <c r="B148" t="s">
        <v>235</v>
      </c>
      <c r="C148">
        <v>1521</v>
      </c>
      <c r="D148" t="s">
        <v>236</v>
      </c>
      <c r="E148">
        <v>6900</v>
      </c>
      <c r="F148">
        <v>1403</v>
      </c>
      <c r="G148">
        <f t="shared" si="4"/>
        <v>0.20333333333333334</v>
      </c>
      <c r="H148">
        <f t="shared" si="5"/>
        <v>0</v>
      </c>
    </row>
    <row r="149" spans="1:8" x14ac:dyDescent="0.25">
      <c r="A149">
        <v>90074201</v>
      </c>
      <c r="B149" t="s">
        <v>237</v>
      </c>
      <c r="C149">
        <v>1020</v>
      </c>
      <c r="D149" t="s">
        <v>238</v>
      </c>
      <c r="E149">
        <v>6000</v>
      </c>
      <c r="F149">
        <v>36</v>
      </c>
      <c r="G149">
        <f t="shared" si="4"/>
        <v>6.0000000000000001E-3</v>
      </c>
      <c r="H149">
        <f t="shared" si="5"/>
        <v>0</v>
      </c>
    </row>
    <row r="150" spans="1:8" x14ac:dyDescent="0.25">
      <c r="A150">
        <v>90070062</v>
      </c>
      <c r="B150" t="s">
        <v>239</v>
      </c>
      <c r="C150">
        <v>1521</v>
      </c>
      <c r="D150" t="s">
        <v>240</v>
      </c>
      <c r="E150">
        <v>6900</v>
      </c>
      <c r="F150">
        <v>324</v>
      </c>
      <c r="G150">
        <f t="shared" si="4"/>
        <v>4.6956521739130432E-2</v>
      </c>
      <c r="H150">
        <f t="shared" si="5"/>
        <v>0</v>
      </c>
    </row>
    <row r="151" spans="1:8" x14ac:dyDescent="0.25">
      <c r="A151">
        <v>9001437</v>
      </c>
      <c r="B151" t="s">
        <v>241</v>
      </c>
      <c r="C151">
        <v>805</v>
      </c>
      <c r="D151" t="s">
        <v>242</v>
      </c>
      <c r="E151">
        <v>5700</v>
      </c>
      <c r="F151">
        <v>3750</v>
      </c>
      <c r="G151">
        <f t="shared" si="4"/>
        <v>0.65789473684210531</v>
      </c>
      <c r="H151">
        <f t="shared" si="5"/>
        <v>0</v>
      </c>
    </row>
    <row r="152" spans="1:8" x14ac:dyDescent="0.25">
      <c r="A152">
        <v>90046080</v>
      </c>
      <c r="B152" t="s">
        <v>243</v>
      </c>
      <c r="C152">
        <v>805</v>
      </c>
      <c r="D152" t="s">
        <v>244</v>
      </c>
      <c r="E152">
        <v>10200</v>
      </c>
      <c r="F152">
        <v>8</v>
      </c>
      <c r="G152">
        <f t="shared" si="4"/>
        <v>7.8431372549019605E-4</v>
      </c>
      <c r="H152">
        <f t="shared" si="5"/>
        <v>0</v>
      </c>
    </row>
    <row r="153" spans="1:8" x14ac:dyDescent="0.25">
      <c r="A153">
        <v>1100411</v>
      </c>
      <c r="B153" t="s">
        <v>36</v>
      </c>
      <c r="C153">
        <v>4</v>
      </c>
      <c r="D153" t="s">
        <v>245</v>
      </c>
      <c r="E153">
        <v>9900</v>
      </c>
      <c r="F153">
        <v>3559</v>
      </c>
      <c r="G153">
        <f t="shared" si="4"/>
        <v>0.35949494949494948</v>
      </c>
      <c r="H153">
        <f t="shared" si="5"/>
        <v>0</v>
      </c>
    </row>
    <row r="154" spans="1:8" x14ac:dyDescent="0.25">
      <c r="A154">
        <v>2400508</v>
      </c>
      <c r="B154" t="s">
        <v>34</v>
      </c>
      <c r="C154">
        <v>108</v>
      </c>
      <c r="D154" t="s">
        <v>246</v>
      </c>
      <c r="E154">
        <v>1800</v>
      </c>
      <c r="F154">
        <v>80</v>
      </c>
      <c r="G154">
        <f t="shared" si="4"/>
        <v>4.4444444444444446E-2</v>
      </c>
      <c r="H154">
        <f t="shared" si="5"/>
        <v>0</v>
      </c>
    </row>
    <row r="155" spans="1:8" x14ac:dyDescent="0.25">
      <c r="A155">
        <v>1100411</v>
      </c>
      <c r="B155" t="s">
        <v>36</v>
      </c>
      <c r="C155">
        <v>4</v>
      </c>
      <c r="D155" t="s">
        <v>247</v>
      </c>
      <c r="E155">
        <v>3900</v>
      </c>
      <c r="F155">
        <v>2569</v>
      </c>
      <c r="G155">
        <f t="shared" si="4"/>
        <v>0.65871794871794875</v>
      </c>
      <c r="H155">
        <f t="shared" si="5"/>
        <v>0</v>
      </c>
    </row>
    <row r="156" spans="1:8" x14ac:dyDescent="0.25">
      <c r="A156">
        <v>240081</v>
      </c>
      <c r="B156" t="s">
        <v>32</v>
      </c>
      <c r="C156">
        <v>5</v>
      </c>
      <c r="D156" t="s">
        <v>248</v>
      </c>
      <c r="E156">
        <v>1800</v>
      </c>
      <c r="F156">
        <v>1409</v>
      </c>
      <c r="G156">
        <f t="shared" si="4"/>
        <v>0.78277777777777779</v>
      </c>
      <c r="H156">
        <f t="shared" si="5"/>
        <v>0</v>
      </c>
    </row>
    <row r="157" spans="1:8" x14ac:dyDescent="0.25">
      <c r="A157">
        <v>2500413</v>
      </c>
      <c r="B157" t="s">
        <v>55</v>
      </c>
      <c r="C157">
        <v>5</v>
      </c>
      <c r="D157" t="s">
        <v>249</v>
      </c>
      <c r="E157">
        <v>3000</v>
      </c>
      <c r="F157">
        <v>1454</v>
      </c>
      <c r="G157">
        <f t="shared" si="4"/>
        <v>0.48466666666666669</v>
      </c>
      <c r="H157">
        <f t="shared" si="5"/>
        <v>0</v>
      </c>
    </row>
    <row r="158" spans="1:8" x14ac:dyDescent="0.25">
      <c r="A158">
        <v>5200303</v>
      </c>
      <c r="B158" t="s">
        <v>39</v>
      </c>
      <c r="C158">
        <v>4</v>
      </c>
      <c r="D158" t="s">
        <v>250</v>
      </c>
      <c r="E158">
        <v>5700</v>
      </c>
      <c r="F158">
        <v>4609</v>
      </c>
      <c r="G158">
        <f t="shared" si="4"/>
        <v>0.8085964912280702</v>
      </c>
      <c r="H158">
        <f t="shared" si="5"/>
        <v>1</v>
      </c>
    </row>
    <row r="159" spans="1:8" x14ac:dyDescent="0.25">
      <c r="A159">
        <v>2400480</v>
      </c>
      <c r="B159" t="s">
        <v>59</v>
      </c>
      <c r="C159">
        <v>3</v>
      </c>
      <c r="D159" t="s">
        <v>251</v>
      </c>
      <c r="E159">
        <v>4200</v>
      </c>
      <c r="F159">
        <v>1332</v>
      </c>
      <c r="G159">
        <f t="shared" si="4"/>
        <v>0.31714285714285712</v>
      </c>
      <c r="H159">
        <f t="shared" si="5"/>
        <v>0</v>
      </c>
    </row>
    <row r="160" spans="1:8" x14ac:dyDescent="0.25">
      <c r="A160">
        <v>90074576</v>
      </c>
      <c r="B160" t="s">
        <v>252</v>
      </c>
      <c r="C160">
        <v>1521</v>
      </c>
      <c r="D160" t="s">
        <v>253</v>
      </c>
      <c r="E160">
        <v>5700</v>
      </c>
      <c r="F160">
        <v>2178</v>
      </c>
      <c r="G160">
        <f t="shared" si="4"/>
        <v>0.38210526315789473</v>
      </c>
      <c r="H160">
        <f t="shared" si="5"/>
        <v>0</v>
      </c>
    </row>
    <row r="161" spans="1:8" x14ac:dyDescent="0.25">
      <c r="A161">
        <v>90079532</v>
      </c>
      <c r="B161" t="s">
        <v>254</v>
      </c>
      <c r="C161">
        <v>805</v>
      </c>
      <c r="D161" t="s">
        <v>255</v>
      </c>
      <c r="E161">
        <v>5400</v>
      </c>
      <c r="F161">
        <v>97</v>
      </c>
      <c r="G161">
        <f t="shared" si="4"/>
        <v>1.7962962962962962E-2</v>
      </c>
      <c r="H161">
        <f t="shared" si="5"/>
        <v>0</v>
      </c>
    </row>
    <row r="162" spans="1:8" x14ac:dyDescent="0.25">
      <c r="A162">
        <v>90048751</v>
      </c>
      <c r="B162" t="s">
        <v>256</v>
      </c>
      <c r="C162">
        <v>4</v>
      </c>
      <c r="D162" t="s">
        <v>257</v>
      </c>
      <c r="E162">
        <v>4800</v>
      </c>
      <c r="F162">
        <v>149</v>
      </c>
      <c r="G162">
        <f t="shared" si="4"/>
        <v>3.1041666666666665E-2</v>
      </c>
      <c r="H162">
        <f t="shared" si="5"/>
        <v>0</v>
      </c>
    </row>
    <row r="163" spans="1:8" x14ac:dyDescent="0.25">
      <c r="A163">
        <v>200352</v>
      </c>
      <c r="B163" t="s">
        <v>224</v>
      </c>
      <c r="C163">
        <v>3</v>
      </c>
      <c r="D163" t="s">
        <v>258</v>
      </c>
      <c r="E163">
        <v>10500</v>
      </c>
      <c r="F163">
        <v>174</v>
      </c>
      <c r="G163">
        <f t="shared" si="4"/>
        <v>1.657142857142857E-2</v>
      </c>
      <c r="H163">
        <f t="shared" si="5"/>
        <v>0</v>
      </c>
    </row>
    <row r="164" spans="1:8" x14ac:dyDescent="0.25">
      <c r="A164">
        <v>1100411</v>
      </c>
      <c r="B164" t="s">
        <v>36</v>
      </c>
      <c r="C164">
        <v>4</v>
      </c>
      <c r="D164" t="s">
        <v>259</v>
      </c>
      <c r="E164">
        <v>6300</v>
      </c>
      <c r="F164">
        <v>95</v>
      </c>
      <c r="G164">
        <f t="shared" si="4"/>
        <v>1.507936507936508E-2</v>
      </c>
      <c r="H164">
        <f t="shared" si="5"/>
        <v>0</v>
      </c>
    </row>
    <row r="165" spans="1:8" x14ac:dyDescent="0.25">
      <c r="A165">
        <v>90073000</v>
      </c>
      <c r="B165" t="s">
        <v>260</v>
      </c>
      <c r="C165">
        <v>1521</v>
      </c>
      <c r="D165" t="s">
        <v>261</v>
      </c>
      <c r="E165">
        <v>7800</v>
      </c>
      <c r="F165">
        <v>67</v>
      </c>
      <c r="G165">
        <f t="shared" si="4"/>
        <v>8.5897435897435894E-3</v>
      </c>
      <c r="H165">
        <f t="shared" si="5"/>
        <v>0</v>
      </c>
    </row>
    <row r="166" spans="1:8" x14ac:dyDescent="0.25">
      <c r="A166">
        <v>90060136</v>
      </c>
      <c r="B166" t="s">
        <v>262</v>
      </c>
      <c r="C166">
        <v>1521</v>
      </c>
      <c r="D166" t="s">
        <v>263</v>
      </c>
      <c r="E166">
        <v>7200</v>
      </c>
      <c r="F166">
        <v>122</v>
      </c>
      <c r="G166">
        <f t="shared" si="4"/>
        <v>1.6944444444444446E-2</v>
      </c>
      <c r="H166">
        <f t="shared" si="5"/>
        <v>0</v>
      </c>
    </row>
    <row r="167" spans="1:8" x14ac:dyDescent="0.25">
      <c r="A167">
        <v>90038939</v>
      </c>
      <c r="B167" t="s">
        <v>264</v>
      </c>
      <c r="C167">
        <v>212</v>
      </c>
      <c r="D167" t="s">
        <v>265</v>
      </c>
      <c r="E167">
        <v>9900</v>
      </c>
      <c r="F167">
        <v>2045</v>
      </c>
      <c r="G167">
        <f t="shared" si="4"/>
        <v>0.20656565656565656</v>
      </c>
      <c r="H167">
        <f t="shared" si="5"/>
        <v>0</v>
      </c>
    </row>
    <row r="168" spans="1:8" x14ac:dyDescent="0.25">
      <c r="A168">
        <v>90080526</v>
      </c>
      <c r="B168" t="s">
        <v>266</v>
      </c>
      <c r="C168">
        <v>5</v>
      </c>
      <c r="D168" t="s">
        <v>267</v>
      </c>
      <c r="E168">
        <v>5100</v>
      </c>
      <c r="F168">
        <v>361</v>
      </c>
      <c r="G168">
        <f t="shared" si="4"/>
        <v>7.0784313725490197E-2</v>
      </c>
      <c r="H168">
        <f t="shared" si="5"/>
        <v>0</v>
      </c>
    </row>
    <row r="169" spans="1:8" x14ac:dyDescent="0.25">
      <c r="A169">
        <v>2400480</v>
      </c>
      <c r="B169" t="s">
        <v>59</v>
      </c>
      <c r="C169">
        <v>3</v>
      </c>
      <c r="D169" t="s">
        <v>268</v>
      </c>
      <c r="E169">
        <v>4200</v>
      </c>
      <c r="F169">
        <v>556</v>
      </c>
      <c r="G169">
        <f t="shared" si="4"/>
        <v>0.13238095238095238</v>
      </c>
      <c r="H169">
        <f t="shared" si="5"/>
        <v>0</v>
      </c>
    </row>
    <row r="170" spans="1:8" x14ac:dyDescent="0.25">
      <c r="A170">
        <v>2400467</v>
      </c>
      <c r="B170" t="s">
        <v>30</v>
      </c>
      <c r="C170">
        <v>6</v>
      </c>
      <c r="D170" t="s">
        <v>269</v>
      </c>
      <c r="E170">
        <v>3000</v>
      </c>
      <c r="F170">
        <v>651</v>
      </c>
      <c r="G170">
        <f t="shared" si="4"/>
        <v>0.217</v>
      </c>
      <c r="H170">
        <f t="shared" si="5"/>
        <v>0</v>
      </c>
    </row>
    <row r="171" spans="1:8" x14ac:dyDescent="0.25">
      <c r="A171">
        <v>90057846</v>
      </c>
      <c r="B171" t="s">
        <v>270</v>
      </c>
      <c r="C171">
        <v>805</v>
      </c>
      <c r="D171" t="s">
        <v>271</v>
      </c>
      <c r="E171">
        <v>8700</v>
      </c>
      <c r="F171">
        <v>97</v>
      </c>
      <c r="G171">
        <f t="shared" si="4"/>
        <v>1.1149425287356322E-2</v>
      </c>
      <c r="H171">
        <f t="shared" si="5"/>
        <v>0</v>
      </c>
    </row>
    <row r="172" spans="1:8" x14ac:dyDescent="0.25">
      <c r="A172">
        <v>2400508</v>
      </c>
      <c r="B172" t="s">
        <v>34</v>
      </c>
      <c r="C172">
        <v>108</v>
      </c>
      <c r="D172" t="s">
        <v>272</v>
      </c>
      <c r="E172">
        <v>1200</v>
      </c>
      <c r="F172">
        <v>119</v>
      </c>
      <c r="G172">
        <f t="shared" si="4"/>
        <v>9.9166666666666667E-2</v>
      </c>
      <c r="H172">
        <f t="shared" si="5"/>
        <v>0</v>
      </c>
    </row>
    <row r="173" spans="1:8" x14ac:dyDescent="0.25">
      <c r="A173">
        <v>240081</v>
      </c>
      <c r="B173" t="s">
        <v>32</v>
      </c>
      <c r="C173">
        <v>5</v>
      </c>
      <c r="D173" t="s">
        <v>273</v>
      </c>
      <c r="E173">
        <v>2400</v>
      </c>
      <c r="F173">
        <v>122</v>
      </c>
      <c r="G173">
        <f t="shared" si="4"/>
        <v>5.0833333333333335E-2</v>
      </c>
      <c r="H173">
        <f t="shared" si="5"/>
        <v>0</v>
      </c>
    </row>
    <row r="174" spans="1:8" x14ac:dyDescent="0.25">
      <c r="A174">
        <v>90065648</v>
      </c>
      <c r="B174" t="s">
        <v>274</v>
      </c>
      <c r="C174">
        <v>5</v>
      </c>
      <c r="D174" t="s">
        <v>275</v>
      </c>
      <c r="E174">
        <v>900</v>
      </c>
      <c r="F174">
        <v>184</v>
      </c>
      <c r="G174">
        <f t="shared" si="4"/>
        <v>0.20444444444444446</v>
      </c>
      <c r="H174">
        <f t="shared" si="5"/>
        <v>0</v>
      </c>
    </row>
    <row r="175" spans="1:8" x14ac:dyDescent="0.25">
      <c r="A175">
        <v>1100411</v>
      </c>
      <c r="B175" t="s">
        <v>36</v>
      </c>
      <c r="C175">
        <v>4</v>
      </c>
      <c r="D175" t="s">
        <v>276</v>
      </c>
      <c r="E175">
        <v>9900</v>
      </c>
      <c r="F175">
        <v>5222</v>
      </c>
      <c r="G175">
        <f t="shared" si="4"/>
        <v>0.52747474747474743</v>
      </c>
      <c r="H175">
        <f t="shared" si="5"/>
        <v>0</v>
      </c>
    </row>
    <row r="176" spans="1:8" x14ac:dyDescent="0.25">
      <c r="A176">
        <v>1100411</v>
      </c>
      <c r="B176" t="s">
        <v>36</v>
      </c>
      <c r="C176">
        <v>4</v>
      </c>
      <c r="D176" t="s">
        <v>277</v>
      </c>
      <c r="E176">
        <v>3900</v>
      </c>
      <c r="F176">
        <v>1867</v>
      </c>
      <c r="G176">
        <f t="shared" si="4"/>
        <v>0.4787179487179487</v>
      </c>
      <c r="H176">
        <f t="shared" si="5"/>
        <v>0</v>
      </c>
    </row>
    <row r="177" spans="1:8" x14ac:dyDescent="0.25">
      <c r="A177">
        <v>2400467</v>
      </c>
      <c r="B177" t="s">
        <v>30</v>
      </c>
      <c r="C177">
        <v>6</v>
      </c>
      <c r="D177" t="s">
        <v>278</v>
      </c>
      <c r="E177">
        <v>2700</v>
      </c>
      <c r="F177">
        <v>2610</v>
      </c>
      <c r="G177">
        <f t="shared" si="4"/>
        <v>0.96666666666666667</v>
      </c>
      <c r="H177">
        <f t="shared" si="5"/>
        <v>1</v>
      </c>
    </row>
    <row r="178" spans="1:8" x14ac:dyDescent="0.25">
      <c r="A178">
        <v>6200371</v>
      </c>
      <c r="B178" t="s">
        <v>279</v>
      </c>
      <c r="C178">
        <v>23</v>
      </c>
      <c r="D178" t="s">
        <v>280</v>
      </c>
      <c r="E178">
        <v>4500</v>
      </c>
      <c r="F178">
        <v>1312</v>
      </c>
      <c r="G178">
        <f t="shared" si="4"/>
        <v>0.29155555555555557</v>
      </c>
      <c r="H178">
        <f t="shared" si="5"/>
        <v>0</v>
      </c>
    </row>
    <row r="179" spans="1:8" x14ac:dyDescent="0.25">
      <c r="A179">
        <v>200405</v>
      </c>
      <c r="B179" t="s">
        <v>62</v>
      </c>
      <c r="C179">
        <v>843</v>
      </c>
      <c r="D179" t="s">
        <v>281</v>
      </c>
      <c r="E179">
        <v>15900</v>
      </c>
      <c r="F179">
        <v>2569</v>
      </c>
      <c r="G179">
        <f t="shared" si="4"/>
        <v>0.16157232704402516</v>
      </c>
      <c r="H179">
        <f t="shared" si="5"/>
        <v>0</v>
      </c>
    </row>
    <row r="180" spans="1:8" x14ac:dyDescent="0.25">
      <c r="A180">
        <v>90056956</v>
      </c>
      <c r="B180" t="s">
        <v>282</v>
      </c>
      <c r="C180">
        <v>5</v>
      </c>
      <c r="D180" t="s">
        <v>283</v>
      </c>
      <c r="E180">
        <v>9900</v>
      </c>
      <c r="F180">
        <v>90</v>
      </c>
      <c r="G180">
        <f t="shared" si="4"/>
        <v>9.0909090909090905E-3</v>
      </c>
      <c r="H180">
        <f t="shared" si="5"/>
        <v>0</v>
      </c>
    </row>
    <row r="181" spans="1:8" x14ac:dyDescent="0.25">
      <c r="A181">
        <v>240081</v>
      </c>
      <c r="B181" t="s">
        <v>32</v>
      </c>
      <c r="C181">
        <v>5</v>
      </c>
      <c r="D181" t="s">
        <v>284</v>
      </c>
      <c r="E181">
        <v>1500</v>
      </c>
      <c r="F181">
        <v>1111</v>
      </c>
      <c r="G181">
        <f t="shared" si="4"/>
        <v>0.7406666666666667</v>
      </c>
      <c r="H181">
        <f t="shared" si="5"/>
        <v>0</v>
      </c>
    </row>
    <row r="182" spans="1:8" x14ac:dyDescent="0.25">
      <c r="A182">
        <v>240081</v>
      </c>
      <c r="B182" t="s">
        <v>32</v>
      </c>
      <c r="C182">
        <v>5</v>
      </c>
      <c r="D182" t="s">
        <v>285</v>
      </c>
      <c r="E182">
        <v>1800</v>
      </c>
      <c r="F182">
        <v>955</v>
      </c>
      <c r="G182">
        <f t="shared" si="4"/>
        <v>0.53055555555555556</v>
      </c>
      <c r="H182">
        <f t="shared" si="5"/>
        <v>0</v>
      </c>
    </row>
    <row r="183" spans="1:8" x14ac:dyDescent="0.25">
      <c r="A183">
        <v>5200303</v>
      </c>
      <c r="B183" t="s">
        <v>39</v>
      </c>
      <c r="C183">
        <v>4</v>
      </c>
      <c r="D183" t="s">
        <v>286</v>
      </c>
      <c r="E183">
        <v>5700</v>
      </c>
      <c r="F183">
        <v>2281</v>
      </c>
      <c r="G183">
        <f t="shared" si="4"/>
        <v>0.40017543859649124</v>
      </c>
      <c r="H183">
        <f t="shared" si="5"/>
        <v>0</v>
      </c>
    </row>
    <row r="184" spans="1:8" x14ac:dyDescent="0.25">
      <c r="A184">
        <v>5900347</v>
      </c>
      <c r="B184" t="s">
        <v>287</v>
      </c>
      <c r="C184">
        <v>3</v>
      </c>
      <c r="D184" t="s">
        <v>288</v>
      </c>
      <c r="E184">
        <v>3600</v>
      </c>
      <c r="F184">
        <v>1553</v>
      </c>
      <c r="G184">
        <f t="shared" si="4"/>
        <v>0.43138888888888888</v>
      </c>
      <c r="H184">
        <f t="shared" si="5"/>
        <v>0</v>
      </c>
    </row>
    <row r="185" spans="1:8" x14ac:dyDescent="0.25">
      <c r="A185">
        <v>20088</v>
      </c>
      <c r="B185" t="s">
        <v>92</v>
      </c>
      <c r="C185">
        <v>3</v>
      </c>
      <c r="D185" t="s">
        <v>289</v>
      </c>
      <c r="E185">
        <v>1800</v>
      </c>
      <c r="F185">
        <v>1477</v>
      </c>
      <c r="G185">
        <f t="shared" si="4"/>
        <v>0.82055555555555559</v>
      </c>
      <c r="H185">
        <f t="shared" si="5"/>
        <v>1</v>
      </c>
    </row>
    <row r="186" spans="1:8" x14ac:dyDescent="0.25">
      <c r="A186">
        <v>2400480</v>
      </c>
      <c r="B186" t="s">
        <v>59</v>
      </c>
      <c r="C186">
        <v>3</v>
      </c>
      <c r="D186" t="s">
        <v>290</v>
      </c>
      <c r="E186">
        <v>600</v>
      </c>
      <c r="F186">
        <v>585</v>
      </c>
      <c r="G186">
        <f t="shared" si="4"/>
        <v>0.97499999999999998</v>
      </c>
      <c r="H186">
        <f t="shared" si="5"/>
        <v>1</v>
      </c>
    </row>
    <row r="187" spans="1:8" x14ac:dyDescent="0.25">
      <c r="A187">
        <v>20088</v>
      </c>
      <c r="B187" t="s">
        <v>92</v>
      </c>
      <c r="C187">
        <v>3</v>
      </c>
      <c r="D187" t="s">
        <v>291</v>
      </c>
      <c r="E187">
        <v>900</v>
      </c>
      <c r="F187">
        <v>562</v>
      </c>
      <c r="G187">
        <f t="shared" si="4"/>
        <v>0.62444444444444447</v>
      </c>
      <c r="H187">
        <f t="shared" si="5"/>
        <v>0</v>
      </c>
    </row>
    <row r="188" spans="1:8" x14ac:dyDescent="0.25">
      <c r="A188">
        <v>1100411</v>
      </c>
      <c r="B188" t="s">
        <v>36</v>
      </c>
      <c r="C188">
        <v>4</v>
      </c>
      <c r="D188" t="s">
        <v>292</v>
      </c>
      <c r="E188">
        <v>6300</v>
      </c>
      <c r="F188">
        <v>113</v>
      </c>
      <c r="G188">
        <f t="shared" si="4"/>
        <v>1.7936507936507938E-2</v>
      </c>
      <c r="H188">
        <f t="shared" si="5"/>
        <v>0</v>
      </c>
    </row>
    <row r="189" spans="1:8" x14ac:dyDescent="0.25">
      <c r="A189">
        <v>1100411</v>
      </c>
      <c r="B189" t="s">
        <v>36</v>
      </c>
      <c r="C189">
        <v>4</v>
      </c>
      <c r="D189" t="s">
        <v>293</v>
      </c>
      <c r="E189">
        <v>9300</v>
      </c>
      <c r="F189">
        <v>1388</v>
      </c>
      <c r="G189">
        <f t="shared" si="4"/>
        <v>0.149247311827957</v>
      </c>
      <c r="H189">
        <f t="shared" si="5"/>
        <v>0</v>
      </c>
    </row>
    <row r="190" spans="1:8" x14ac:dyDescent="0.25">
      <c r="A190">
        <v>1100411</v>
      </c>
      <c r="B190" t="s">
        <v>36</v>
      </c>
      <c r="C190">
        <v>4</v>
      </c>
      <c r="D190" t="s">
        <v>294</v>
      </c>
      <c r="E190">
        <v>9300</v>
      </c>
      <c r="F190">
        <v>362</v>
      </c>
      <c r="G190">
        <f t="shared" si="4"/>
        <v>3.8924731182795699E-2</v>
      </c>
      <c r="H190">
        <f t="shared" si="5"/>
        <v>0</v>
      </c>
    </row>
    <row r="191" spans="1:8" x14ac:dyDescent="0.25">
      <c r="A191">
        <v>10003167</v>
      </c>
      <c r="B191" t="s">
        <v>295</v>
      </c>
      <c r="C191">
        <v>6</v>
      </c>
      <c r="D191" t="s">
        <v>296</v>
      </c>
      <c r="E191">
        <v>9600</v>
      </c>
      <c r="F191">
        <v>31</v>
      </c>
      <c r="G191">
        <f t="shared" si="4"/>
        <v>3.2291666666666666E-3</v>
      </c>
      <c r="H191">
        <f t="shared" si="5"/>
        <v>0</v>
      </c>
    </row>
    <row r="192" spans="1:8" x14ac:dyDescent="0.25">
      <c r="A192">
        <v>2400467</v>
      </c>
      <c r="B192" t="s">
        <v>30</v>
      </c>
      <c r="C192">
        <v>6</v>
      </c>
      <c r="D192" t="s">
        <v>297</v>
      </c>
      <c r="E192">
        <v>2700</v>
      </c>
      <c r="F192">
        <v>2095</v>
      </c>
      <c r="G192">
        <f t="shared" si="4"/>
        <v>0.77592592592592591</v>
      </c>
      <c r="H192">
        <f t="shared" si="5"/>
        <v>0</v>
      </c>
    </row>
    <row r="193" spans="1:8" x14ac:dyDescent="0.25">
      <c r="A193">
        <v>6200371</v>
      </c>
      <c r="B193" t="s">
        <v>279</v>
      </c>
      <c r="C193">
        <v>23</v>
      </c>
      <c r="D193" t="s">
        <v>298</v>
      </c>
      <c r="E193">
        <v>1800</v>
      </c>
      <c r="F193">
        <v>185</v>
      </c>
      <c r="G193">
        <f t="shared" si="4"/>
        <v>0.10277777777777777</v>
      </c>
      <c r="H193">
        <f t="shared" si="5"/>
        <v>0</v>
      </c>
    </row>
    <row r="194" spans="1:8" x14ac:dyDescent="0.25">
      <c r="A194">
        <v>240081</v>
      </c>
      <c r="B194" t="s">
        <v>32</v>
      </c>
      <c r="C194">
        <v>5</v>
      </c>
      <c r="D194" t="s">
        <v>298</v>
      </c>
      <c r="E194">
        <v>1500</v>
      </c>
      <c r="F194">
        <v>215</v>
      </c>
      <c r="G194">
        <f t="shared" ref="G194:G257" si="6">MIN(F194/E194,1)</f>
        <v>0.14333333333333334</v>
      </c>
      <c r="H194">
        <f t="shared" ref="H194:H257" si="7">IF(G194&gt;=0.8,1,0)</f>
        <v>0</v>
      </c>
    </row>
    <row r="195" spans="1:8" x14ac:dyDescent="0.25">
      <c r="A195">
        <v>6700482</v>
      </c>
      <c r="B195" t="s">
        <v>299</v>
      </c>
      <c r="C195">
        <v>3</v>
      </c>
      <c r="D195" t="s">
        <v>300</v>
      </c>
      <c r="E195">
        <v>1800</v>
      </c>
      <c r="F195">
        <v>84</v>
      </c>
      <c r="G195">
        <f t="shared" si="6"/>
        <v>4.6666666666666669E-2</v>
      </c>
      <c r="H195">
        <f t="shared" si="7"/>
        <v>0</v>
      </c>
    </row>
    <row r="196" spans="1:8" x14ac:dyDescent="0.25">
      <c r="A196">
        <v>2400480</v>
      </c>
      <c r="B196" t="s">
        <v>59</v>
      </c>
      <c r="C196">
        <v>3</v>
      </c>
      <c r="D196" t="s">
        <v>301</v>
      </c>
      <c r="E196">
        <v>3600</v>
      </c>
      <c r="F196">
        <v>288</v>
      </c>
      <c r="G196">
        <f t="shared" si="6"/>
        <v>0.08</v>
      </c>
      <c r="H196">
        <f t="shared" si="7"/>
        <v>0</v>
      </c>
    </row>
    <row r="197" spans="1:8" x14ac:dyDescent="0.25">
      <c r="A197">
        <v>5200303</v>
      </c>
      <c r="B197" t="s">
        <v>39</v>
      </c>
      <c r="C197">
        <v>4</v>
      </c>
      <c r="D197" t="s">
        <v>302</v>
      </c>
      <c r="E197">
        <v>5400</v>
      </c>
      <c r="F197">
        <v>2061</v>
      </c>
      <c r="G197">
        <f t="shared" si="6"/>
        <v>0.38166666666666665</v>
      </c>
      <c r="H197">
        <f t="shared" si="7"/>
        <v>0</v>
      </c>
    </row>
    <row r="198" spans="1:8" x14ac:dyDescent="0.25">
      <c r="A198">
        <v>90081718</v>
      </c>
      <c r="B198" t="s">
        <v>303</v>
      </c>
      <c r="C198">
        <v>1528</v>
      </c>
      <c r="D198" t="s">
        <v>304</v>
      </c>
      <c r="E198">
        <v>6000</v>
      </c>
      <c r="F198">
        <v>941</v>
      </c>
      <c r="G198">
        <f t="shared" si="6"/>
        <v>0.15683333333333332</v>
      </c>
      <c r="H198">
        <f t="shared" si="7"/>
        <v>0</v>
      </c>
    </row>
    <row r="199" spans="1:8" x14ac:dyDescent="0.25">
      <c r="A199">
        <v>1100411</v>
      </c>
      <c r="B199" t="s">
        <v>36</v>
      </c>
      <c r="C199">
        <v>4</v>
      </c>
      <c r="D199" t="s">
        <v>305</v>
      </c>
      <c r="E199">
        <v>9300</v>
      </c>
      <c r="F199">
        <v>235</v>
      </c>
      <c r="G199">
        <f t="shared" si="6"/>
        <v>2.5268817204301075E-2</v>
      </c>
      <c r="H199">
        <f t="shared" si="7"/>
        <v>0</v>
      </c>
    </row>
    <row r="200" spans="1:8" x14ac:dyDescent="0.25">
      <c r="A200">
        <v>90046940</v>
      </c>
      <c r="B200" t="s">
        <v>306</v>
      </c>
      <c r="C200">
        <v>212</v>
      </c>
      <c r="D200" t="s">
        <v>307</v>
      </c>
      <c r="E200">
        <v>9600</v>
      </c>
      <c r="F200">
        <v>2286</v>
      </c>
      <c r="G200">
        <f t="shared" si="6"/>
        <v>0.238125</v>
      </c>
      <c r="H200">
        <f t="shared" si="7"/>
        <v>0</v>
      </c>
    </row>
    <row r="201" spans="1:8" x14ac:dyDescent="0.25">
      <c r="A201">
        <v>90054302</v>
      </c>
      <c r="B201" t="s">
        <v>308</v>
      </c>
      <c r="C201">
        <v>1520</v>
      </c>
      <c r="D201" t="s">
        <v>309</v>
      </c>
      <c r="E201">
        <v>6300</v>
      </c>
      <c r="F201">
        <v>936</v>
      </c>
      <c r="G201">
        <f t="shared" si="6"/>
        <v>0.14857142857142858</v>
      </c>
      <c r="H201">
        <f t="shared" si="7"/>
        <v>0</v>
      </c>
    </row>
    <row r="202" spans="1:8" x14ac:dyDescent="0.25">
      <c r="A202">
        <v>90048210</v>
      </c>
      <c r="B202" t="s">
        <v>310</v>
      </c>
      <c r="C202">
        <v>4</v>
      </c>
      <c r="D202" t="s">
        <v>311</v>
      </c>
      <c r="E202">
        <v>5100</v>
      </c>
      <c r="F202">
        <v>273</v>
      </c>
      <c r="G202">
        <f t="shared" si="6"/>
        <v>5.3529411764705881E-2</v>
      </c>
      <c r="H202">
        <f t="shared" si="7"/>
        <v>0</v>
      </c>
    </row>
    <row r="203" spans="1:8" x14ac:dyDescent="0.25">
      <c r="A203">
        <v>90041846</v>
      </c>
      <c r="B203" t="s">
        <v>312</v>
      </c>
      <c r="C203">
        <v>4</v>
      </c>
      <c r="D203" t="s">
        <v>313</v>
      </c>
      <c r="E203">
        <v>7200</v>
      </c>
      <c r="F203">
        <v>406</v>
      </c>
      <c r="G203">
        <f t="shared" si="6"/>
        <v>5.6388888888888891E-2</v>
      </c>
      <c r="H203">
        <f t="shared" si="7"/>
        <v>0</v>
      </c>
    </row>
    <row r="204" spans="1:8" x14ac:dyDescent="0.25">
      <c r="A204">
        <v>200405</v>
      </c>
      <c r="B204" t="s">
        <v>62</v>
      </c>
      <c r="C204">
        <v>843</v>
      </c>
      <c r="D204" t="s">
        <v>314</v>
      </c>
      <c r="E204">
        <v>13500</v>
      </c>
      <c r="F204">
        <v>1262</v>
      </c>
      <c r="G204">
        <f t="shared" si="6"/>
        <v>9.3481481481481485E-2</v>
      </c>
      <c r="H204">
        <f t="shared" si="7"/>
        <v>0</v>
      </c>
    </row>
    <row r="205" spans="1:8" x14ac:dyDescent="0.25">
      <c r="A205">
        <v>6500479</v>
      </c>
      <c r="B205" t="s">
        <v>121</v>
      </c>
      <c r="C205">
        <v>3</v>
      </c>
      <c r="D205" t="s">
        <v>315</v>
      </c>
      <c r="E205">
        <v>27300</v>
      </c>
      <c r="F205">
        <v>840</v>
      </c>
      <c r="G205">
        <f t="shared" si="6"/>
        <v>3.0769230769230771E-2</v>
      </c>
      <c r="H205">
        <f t="shared" si="7"/>
        <v>0</v>
      </c>
    </row>
    <row r="206" spans="1:8" x14ac:dyDescent="0.25">
      <c r="A206">
        <v>90073287</v>
      </c>
      <c r="B206" t="s">
        <v>316</v>
      </c>
      <c r="C206">
        <v>1520</v>
      </c>
      <c r="D206" t="s">
        <v>317</v>
      </c>
      <c r="E206">
        <v>6300</v>
      </c>
      <c r="F206">
        <v>77</v>
      </c>
      <c r="G206">
        <f t="shared" si="6"/>
        <v>1.2222222222222223E-2</v>
      </c>
      <c r="H206">
        <f t="shared" si="7"/>
        <v>0</v>
      </c>
    </row>
    <row r="207" spans="1:8" x14ac:dyDescent="0.25">
      <c r="A207">
        <v>90082431</v>
      </c>
      <c r="B207" t="s">
        <v>318</v>
      </c>
      <c r="C207">
        <v>23</v>
      </c>
      <c r="D207" t="s">
        <v>319</v>
      </c>
      <c r="E207">
        <v>5700</v>
      </c>
      <c r="F207">
        <v>78</v>
      </c>
      <c r="G207">
        <f t="shared" si="6"/>
        <v>1.368421052631579E-2</v>
      </c>
      <c r="H207">
        <f t="shared" si="7"/>
        <v>0</v>
      </c>
    </row>
    <row r="208" spans="1:8" x14ac:dyDescent="0.25">
      <c r="A208">
        <v>90041065</v>
      </c>
      <c r="B208" t="s">
        <v>320</v>
      </c>
      <c r="C208">
        <v>5</v>
      </c>
      <c r="D208" t="s">
        <v>321</v>
      </c>
      <c r="E208">
        <v>7500</v>
      </c>
      <c r="F208">
        <v>174</v>
      </c>
      <c r="G208">
        <f t="shared" si="6"/>
        <v>2.3199999999999998E-2</v>
      </c>
      <c r="H208">
        <f t="shared" si="7"/>
        <v>0</v>
      </c>
    </row>
    <row r="209" spans="1:8" x14ac:dyDescent="0.25">
      <c r="A209">
        <v>90074481</v>
      </c>
      <c r="B209" t="s">
        <v>322</v>
      </c>
      <c r="C209">
        <v>3</v>
      </c>
      <c r="D209" t="s">
        <v>323</v>
      </c>
      <c r="E209">
        <v>9000</v>
      </c>
      <c r="F209">
        <v>592</v>
      </c>
      <c r="G209">
        <f t="shared" si="6"/>
        <v>6.5777777777777782E-2</v>
      </c>
      <c r="H209">
        <f t="shared" si="7"/>
        <v>0</v>
      </c>
    </row>
    <row r="210" spans="1:8" x14ac:dyDescent="0.25">
      <c r="A210">
        <v>90079286</v>
      </c>
      <c r="B210" t="s">
        <v>324</v>
      </c>
      <c r="C210">
        <v>3</v>
      </c>
      <c r="D210" t="s">
        <v>325</v>
      </c>
      <c r="E210">
        <v>10800</v>
      </c>
      <c r="F210">
        <v>79</v>
      </c>
      <c r="G210">
        <f t="shared" si="6"/>
        <v>7.3148148148148148E-3</v>
      </c>
      <c r="H210">
        <f t="shared" si="7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tabSelected="1" workbookViewId="0">
      <selection activeCell="K15" sqref="K15"/>
    </sheetView>
  </sheetViews>
  <sheetFormatPr defaultRowHeight="15" x14ac:dyDescent="0.25"/>
  <sheetData>
    <row r="1" spans="1:12" x14ac:dyDescent="0.25">
      <c r="A1" t="s">
        <v>326</v>
      </c>
      <c r="B1" t="s">
        <v>327</v>
      </c>
      <c r="C1" t="s">
        <v>16</v>
      </c>
      <c r="D1" t="s">
        <v>328</v>
      </c>
      <c r="E1" t="s">
        <v>329</v>
      </c>
      <c r="F1" t="s">
        <v>330</v>
      </c>
      <c r="G1" t="s">
        <v>331</v>
      </c>
      <c r="H1" t="s">
        <v>332</v>
      </c>
      <c r="J1" t="s">
        <v>333</v>
      </c>
      <c r="K1" t="s">
        <v>334</v>
      </c>
      <c r="L1" t="s">
        <v>335</v>
      </c>
    </row>
    <row r="2" spans="1:12" x14ac:dyDescent="0.25">
      <c r="A2">
        <v>1</v>
      </c>
      <c r="B2">
        <v>240081</v>
      </c>
      <c r="C2" t="s">
        <v>32</v>
      </c>
      <c r="D2">
        <f>SUMIFS(val_airings!H2:H210,val_airings!A2:A210,B2)</f>
        <v>7</v>
      </c>
      <c r="E2" t="str">
        <f>IF(COUNTIF($K$2:$K$6,B2)&gt;0,"yes","no")</f>
        <v>yes</v>
      </c>
      <c r="F2">
        <f>IF(E2="yes",1,0)</f>
        <v>1</v>
      </c>
      <c r="G2">
        <f>SUM($F$2:F2)</f>
        <v>1</v>
      </c>
      <c r="H2">
        <f>IF(F2=1,G2/A2,0)</f>
        <v>1</v>
      </c>
      <c r="J2">
        <v>1</v>
      </c>
      <c r="K2">
        <v>240081</v>
      </c>
      <c r="L2">
        <f>SUMIFS(val_airings!H2:H210,val_airings!A2:A210,K2)</f>
        <v>7</v>
      </c>
    </row>
    <row r="3" spans="1:12" x14ac:dyDescent="0.25">
      <c r="A3">
        <v>2</v>
      </c>
      <c r="B3">
        <v>1100411</v>
      </c>
      <c r="C3" t="s">
        <v>36</v>
      </c>
      <c r="D3">
        <f>SUMIFS(val_airings!H2:H210,val_airings!A2:A210,B3)</f>
        <v>1</v>
      </c>
      <c r="E3" t="str">
        <f>IF(COUNTIF($K$2:$K$6,B3)&gt;0,"yes","no")</f>
        <v>no</v>
      </c>
      <c r="F3">
        <f>IF(E3="yes",1,0)</f>
        <v>0</v>
      </c>
      <c r="G3">
        <f>SUM($F$2:F3)</f>
        <v>1</v>
      </c>
      <c r="H3">
        <f>IF(F3=1,G3/A3,0)</f>
        <v>0</v>
      </c>
      <c r="J3">
        <v>2</v>
      </c>
      <c r="K3">
        <v>5200303</v>
      </c>
      <c r="L3">
        <f>SUMIFS(val_airings!H2:H210,val_airings!A2:A210,K3)</f>
        <v>4</v>
      </c>
    </row>
    <row r="4" spans="1:12" x14ac:dyDescent="0.25">
      <c r="A4">
        <v>3</v>
      </c>
      <c r="B4">
        <v>2400467</v>
      </c>
      <c r="C4" t="s">
        <v>30</v>
      </c>
      <c r="D4">
        <f>SUMIFS(val_airings!H2:H210,val_airings!A2:A210,B4)</f>
        <v>3</v>
      </c>
      <c r="E4" t="str">
        <f>IF(COUNTIF($K$2:$K$6,B4)&gt;0,"yes","no")</f>
        <v>yes</v>
      </c>
      <c r="F4">
        <f>IF(E4="yes",1,0)</f>
        <v>1</v>
      </c>
      <c r="G4">
        <f>SUM($F$2:F4)</f>
        <v>2</v>
      </c>
      <c r="H4">
        <f>IF(F4=1,G4/A4,0)</f>
        <v>0.66666666666666663</v>
      </c>
      <c r="J4">
        <v>3</v>
      </c>
      <c r="K4">
        <v>2400467</v>
      </c>
      <c r="L4">
        <f>SUMIFS(val_airings!H2:H210,val_airings!A2:A210,K4)</f>
        <v>3</v>
      </c>
    </row>
    <row r="5" spans="1:12" x14ac:dyDescent="0.25">
      <c r="A5">
        <v>4</v>
      </c>
      <c r="B5">
        <v>2400480</v>
      </c>
      <c r="C5" t="s">
        <v>59</v>
      </c>
      <c r="D5">
        <f>SUMIFS(val_airings!H2:H210,val_airings!A2:A210,B5)</f>
        <v>2</v>
      </c>
      <c r="E5" t="str">
        <f>IF(COUNTIF($K$2:$K$6,B5)&gt;0,"yes","no")</f>
        <v>yes</v>
      </c>
      <c r="F5">
        <f>IF(E5="yes",1,0)</f>
        <v>1</v>
      </c>
      <c r="G5">
        <f>SUM($F$2:F5)</f>
        <v>3</v>
      </c>
      <c r="H5">
        <f>IF(F5=1,G5/A5,0)</f>
        <v>0.75</v>
      </c>
      <c r="J5">
        <v>4</v>
      </c>
      <c r="K5">
        <v>2400480</v>
      </c>
      <c r="L5">
        <f>SUMIFS(val_airings!H2:H210,val_airings!A2:A210,K5)</f>
        <v>2</v>
      </c>
    </row>
    <row r="6" spans="1:12" x14ac:dyDescent="0.25">
      <c r="A6">
        <v>5</v>
      </c>
      <c r="B6">
        <v>2400508</v>
      </c>
      <c r="C6" t="s">
        <v>34</v>
      </c>
      <c r="D6">
        <f>SUMIFS(val_airings!H2:H210,val_airings!A2:A210,B6)</f>
        <v>1</v>
      </c>
      <c r="E6" t="str">
        <f>IF(COUNTIF($K$2:$K$6,B6)&gt;0,"yes","no")</f>
        <v>no</v>
      </c>
      <c r="F6">
        <f>IF(E6="yes",1,0)</f>
        <v>0</v>
      </c>
      <c r="G6">
        <f>SUM($F$2:F6)</f>
        <v>3</v>
      </c>
      <c r="H6">
        <f>IF(F6=1,G6/A6,0)</f>
        <v>0</v>
      </c>
      <c r="J6">
        <v>5</v>
      </c>
      <c r="K6">
        <v>20088</v>
      </c>
      <c r="L6">
        <f>SUMIFS(val_airings!H2:H210,val_airings!A2:A210,K6)</f>
        <v>1</v>
      </c>
    </row>
    <row r="8" spans="1:12" x14ac:dyDescent="0.25">
      <c r="A8" t="s">
        <v>336</v>
      </c>
      <c r="H8">
        <f>SUM(H2:H6)/MIN(5,COUNT(K2:K6))</f>
        <v>0.48333333333333328</v>
      </c>
    </row>
    <row r="10" spans="1:12" x14ac:dyDescent="0.25">
      <c r="A10" t="s">
        <v>337</v>
      </c>
    </row>
    <row r="11" spans="1:12" x14ac:dyDescent="0.25">
      <c r="A11" t="s">
        <v>338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2"/>
  <sheetViews>
    <sheetView workbookViewId="0">
      <selection activeCell="M15" sqref="M15"/>
    </sheetView>
  </sheetViews>
  <sheetFormatPr defaultRowHeight="15" x14ac:dyDescent="0.25"/>
  <sheetData>
    <row r="1" spans="1:14" x14ac:dyDescent="0.25">
      <c r="A1" t="s">
        <v>15</v>
      </c>
      <c r="B1" t="s">
        <v>16</v>
      </c>
      <c r="C1" t="s">
        <v>339</v>
      </c>
      <c r="D1" t="s">
        <v>19</v>
      </c>
      <c r="E1" t="s">
        <v>3</v>
      </c>
      <c r="F1" t="s">
        <v>20</v>
      </c>
      <c r="G1" t="s">
        <v>340</v>
      </c>
      <c r="H1" t="s">
        <v>341</v>
      </c>
      <c r="J1" t="s">
        <v>15</v>
      </c>
      <c r="K1" t="s">
        <v>342</v>
      </c>
      <c r="L1" t="s">
        <v>343</v>
      </c>
      <c r="M1" t="s">
        <v>344</v>
      </c>
      <c r="N1" t="s">
        <v>326</v>
      </c>
    </row>
    <row r="2" spans="1:14" x14ac:dyDescent="0.25">
      <c r="A2">
        <v>240081</v>
      </c>
      <c r="B2" t="s">
        <v>32</v>
      </c>
      <c r="C2" s="2">
        <v>43901.278680555559</v>
      </c>
      <c r="D2">
        <v>7</v>
      </c>
      <c r="E2">
        <v>300</v>
      </c>
      <c r="F2">
        <f t="shared" ref="F2:F65" si="0">MIN(D2/E2,1)</f>
        <v>2.3333333333333334E-2</v>
      </c>
      <c r="G2">
        <f t="shared" ref="G2:G65" si="1">(DATE(2020,5,18)-C2)/7</f>
        <v>9.674474206348739</v>
      </c>
      <c r="H2">
        <f t="shared" ref="H2:H65" si="2">F2*0.5^(G2/4)</f>
        <v>4.3641538578354259E-3</v>
      </c>
      <c r="J2">
        <v>240081</v>
      </c>
      <c r="K2">
        <f t="shared" ref="K2:K7" si="3">SUMIF($A$2:$A$242,J2,$H$2:$H$242)</f>
        <v>17.471301620056789</v>
      </c>
      <c r="L2">
        <v>0.4176887269804691</v>
      </c>
      <c r="M2">
        <f t="shared" ref="M2:M7" si="4">K2*(L2+0.0001)^0.5</f>
        <v>11.292851572588516</v>
      </c>
      <c r="N2">
        <f t="shared" ref="N2:N7" si="5">RANK(M2,$M$2:$M$7)</f>
        <v>1</v>
      </c>
    </row>
    <row r="3" spans="1:14" x14ac:dyDescent="0.25">
      <c r="A3">
        <v>240081</v>
      </c>
      <c r="B3" t="s">
        <v>32</v>
      </c>
      <c r="C3" s="2">
        <v>43901.784270833326</v>
      </c>
      <c r="D3">
        <v>1487</v>
      </c>
      <c r="E3">
        <v>2100</v>
      </c>
      <c r="F3">
        <f t="shared" si="0"/>
        <v>0.70809523809523811</v>
      </c>
      <c r="G3">
        <f t="shared" si="1"/>
        <v>9.6022470238105075</v>
      </c>
      <c r="H3">
        <f t="shared" si="2"/>
        <v>0.1341067317937859</v>
      </c>
      <c r="J3">
        <v>1100411</v>
      </c>
      <c r="K3">
        <f t="shared" si="3"/>
        <v>8.9978483561766218</v>
      </c>
      <c r="L3">
        <v>0.25921593014641792</v>
      </c>
      <c r="M3">
        <f t="shared" si="4"/>
        <v>4.5819808318054038</v>
      </c>
      <c r="N3">
        <f t="shared" si="5"/>
        <v>2</v>
      </c>
    </row>
    <row r="4" spans="1:14" x14ac:dyDescent="0.25">
      <c r="A4">
        <v>240081</v>
      </c>
      <c r="B4" t="s">
        <v>32</v>
      </c>
      <c r="C4" s="2">
        <v>43902.366319444453</v>
      </c>
      <c r="D4">
        <v>1650</v>
      </c>
      <c r="E4">
        <v>1800</v>
      </c>
      <c r="F4">
        <f t="shared" si="0"/>
        <v>0.91666666666666663</v>
      </c>
      <c r="G4">
        <f t="shared" si="1"/>
        <v>9.5190972222210668</v>
      </c>
      <c r="H4">
        <f t="shared" si="2"/>
        <v>0.17612783237855198</v>
      </c>
      <c r="J4">
        <v>2400467</v>
      </c>
      <c r="K4">
        <f t="shared" si="3"/>
        <v>9.0342589643007507</v>
      </c>
      <c r="L4">
        <v>0.16587276594103301</v>
      </c>
      <c r="M4">
        <f t="shared" si="4"/>
        <v>3.6805349924596515</v>
      </c>
      <c r="N4">
        <f t="shared" si="5"/>
        <v>3</v>
      </c>
    </row>
    <row r="5" spans="1:14" x14ac:dyDescent="0.25">
      <c r="A5">
        <v>240081</v>
      </c>
      <c r="B5" t="s">
        <v>32</v>
      </c>
      <c r="C5" s="2">
        <v>43902.787499999999</v>
      </c>
      <c r="D5">
        <v>1326</v>
      </c>
      <c r="E5">
        <v>2400</v>
      </c>
      <c r="F5">
        <f t="shared" si="0"/>
        <v>0.55249999999999999</v>
      </c>
      <c r="G5">
        <f t="shared" si="1"/>
        <v>9.4589285714287801</v>
      </c>
      <c r="H5">
        <f t="shared" si="2"/>
        <v>0.10726967767361745</v>
      </c>
      <c r="J5">
        <v>2400480</v>
      </c>
      <c r="K5">
        <f t="shared" si="3"/>
        <v>6.9779752203342653</v>
      </c>
      <c r="L5">
        <v>0.2195061499682496</v>
      </c>
      <c r="M5">
        <f t="shared" si="4"/>
        <v>3.2700295103355463</v>
      </c>
      <c r="N5">
        <f t="shared" si="5"/>
        <v>4</v>
      </c>
    </row>
    <row r="6" spans="1:14" x14ac:dyDescent="0.25">
      <c r="A6">
        <v>240081</v>
      </c>
      <c r="B6" t="s">
        <v>32</v>
      </c>
      <c r="C6" s="2">
        <v>43904.205046296287</v>
      </c>
      <c r="D6">
        <v>385</v>
      </c>
      <c r="E6">
        <v>1800</v>
      </c>
      <c r="F6">
        <f t="shared" si="0"/>
        <v>0.21388888888888888</v>
      </c>
      <c r="G6">
        <f t="shared" si="1"/>
        <v>9.2564219576732807</v>
      </c>
      <c r="H6">
        <f t="shared" si="2"/>
        <v>4.3010358149263017E-2</v>
      </c>
      <c r="J6">
        <v>2400508</v>
      </c>
      <c r="K6">
        <f t="shared" si="3"/>
        <v>4.0071890689460377</v>
      </c>
      <c r="L6">
        <v>0.2241050398019811</v>
      </c>
      <c r="M6">
        <f t="shared" si="4"/>
        <v>1.8974158290342558</v>
      </c>
      <c r="N6">
        <f t="shared" si="5"/>
        <v>5</v>
      </c>
    </row>
    <row r="7" spans="1:14" x14ac:dyDescent="0.25">
      <c r="A7">
        <v>240081</v>
      </c>
      <c r="B7" t="s">
        <v>32</v>
      </c>
      <c r="C7" s="2">
        <v>43906.54378472222</v>
      </c>
      <c r="D7">
        <v>412</v>
      </c>
      <c r="E7">
        <v>2100</v>
      </c>
      <c r="F7">
        <f t="shared" si="0"/>
        <v>0.19619047619047619</v>
      </c>
      <c r="G7">
        <f t="shared" si="1"/>
        <v>8.9223164682542642</v>
      </c>
      <c r="H7">
        <f t="shared" si="2"/>
        <v>4.1802927736109885E-2</v>
      </c>
      <c r="J7">
        <v>5200303</v>
      </c>
      <c r="K7">
        <f t="shared" si="3"/>
        <v>2.6320908543594888</v>
      </c>
      <c r="L7">
        <v>8.1058018620726965E-2</v>
      </c>
      <c r="M7">
        <f t="shared" si="4"/>
        <v>0.74983652956786107</v>
      </c>
      <c r="N7">
        <f t="shared" si="5"/>
        <v>6</v>
      </c>
    </row>
    <row r="8" spans="1:14" x14ac:dyDescent="0.25">
      <c r="A8">
        <v>240081</v>
      </c>
      <c r="B8" t="s">
        <v>32</v>
      </c>
      <c r="C8" s="2">
        <v>43906.799907407411</v>
      </c>
      <c r="D8">
        <v>342</v>
      </c>
      <c r="E8">
        <v>2100</v>
      </c>
      <c r="F8">
        <f t="shared" si="0"/>
        <v>0.16285714285714287</v>
      </c>
      <c r="G8">
        <f t="shared" si="1"/>
        <v>8.8857275132270708</v>
      </c>
      <c r="H8">
        <f t="shared" si="2"/>
        <v>3.4921201900997595E-2</v>
      </c>
    </row>
    <row r="9" spans="1:14" x14ac:dyDescent="0.25">
      <c r="A9">
        <v>240081</v>
      </c>
      <c r="B9" t="s">
        <v>32</v>
      </c>
      <c r="C9" s="2">
        <v>43906.863287037027</v>
      </c>
      <c r="D9">
        <v>240</v>
      </c>
      <c r="E9">
        <v>1200</v>
      </c>
      <c r="F9">
        <f t="shared" si="0"/>
        <v>0.2</v>
      </c>
      <c r="G9">
        <f t="shared" si="1"/>
        <v>8.8766732804246455</v>
      </c>
      <c r="H9">
        <f t="shared" si="2"/>
        <v>4.2953026099380676E-2</v>
      </c>
      <c r="J9" t="s">
        <v>345</v>
      </c>
    </row>
    <row r="10" spans="1:14" x14ac:dyDescent="0.25">
      <c r="A10">
        <v>240081</v>
      </c>
      <c r="B10" t="s">
        <v>32</v>
      </c>
      <c r="C10" s="2">
        <v>43907.341273148151</v>
      </c>
      <c r="D10">
        <v>1800</v>
      </c>
      <c r="E10">
        <v>1800</v>
      </c>
      <c r="F10">
        <f t="shared" si="0"/>
        <v>1</v>
      </c>
      <c r="G10">
        <f t="shared" si="1"/>
        <v>8.8083895502641099</v>
      </c>
      <c r="H10">
        <f t="shared" si="2"/>
        <v>0.21732146947695397</v>
      </c>
      <c r="J10" t="s">
        <v>346</v>
      </c>
    </row>
    <row r="11" spans="1:14" x14ac:dyDescent="0.25">
      <c r="A11">
        <v>240081</v>
      </c>
      <c r="B11" t="s">
        <v>32</v>
      </c>
      <c r="C11" s="2">
        <v>43907.532766203702</v>
      </c>
      <c r="D11">
        <v>808</v>
      </c>
      <c r="E11">
        <v>2100</v>
      </c>
      <c r="F11">
        <f t="shared" si="0"/>
        <v>0.38476190476190475</v>
      </c>
      <c r="G11">
        <f t="shared" si="1"/>
        <v>8.7810333994711982</v>
      </c>
      <c r="H11">
        <f t="shared" si="2"/>
        <v>8.4014346672517642E-2</v>
      </c>
    </row>
    <row r="12" spans="1:14" x14ac:dyDescent="0.25">
      <c r="A12">
        <v>240081</v>
      </c>
      <c r="B12" t="s">
        <v>32</v>
      </c>
      <c r="C12" s="2">
        <v>43907.785069444442</v>
      </c>
      <c r="D12">
        <v>616</v>
      </c>
      <c r="E12">
        <v>2100</v>
      </c>
      <c r="F12">
        <f t="shared" si="0"/>
        <v>0.29333333333333333</v>
      </c>
      <c r="G12">
        <f t="shared" si="1"/>
        <v>8.7449900793653796</v>
      </c>
      <c r="H12">
        <f t="shared" si="2"/>
        <v>6.4451842331820733E-2</v>
      </c>
    </row>
    <row r="13" spans="1:14" x14ac:dyDescent="0.25">
      <c r="A13">
        <v>240081</v>
      </c>
      <c r="B13" t="s">
        <v>32</v>
      </c>
      <c r="C13" s="2">
        <v>43908.550150462957</v>
      </c>
      <c r="D13">
        <v>767</v>
      </c>
      <c r="E13">
        <v>2400</v>
      </c>
      <c r="F13">
        <f t="shared" si="0"/>
        <v>0.31958333333333333</v>
      </c>
      <c r="G13">
        <f t="shared" si="1"/>
        <v>8.6356927910060879</v>
      </c>
      <c r="H13">
        <f t="shared" si="2"/>
        <v>7.1562166712592357E-2</v>
      </c>
    </row>
    <row r="14" spans="1:14" x14ac:dyDescent="0.25">
      <c r="A14">
        <v>240081</v>
      </c>
      <c r="B14" t="s">
        <v>32</v>
      </c>
      <c r="C14" s="2">
        <v>43908.783437500002</v>
      </c>
      <c r="D14">
        <v>202</v>
      </c>
      <c r="E14">
        <v>2400</v>
      </c>
      <c r="F14">
        <f t="shared" si="0"/>
        <v>8.4166666666666667E-2</v>
      </c>
      <c r="G14">
        <f t="shared" si="1"/>
        <v>8.6023660714282801</v>
      </c>
      <c r="H14">
        <f t="shared" si="2"/>
        <v>1.895603807891174E-2</v>
      </c>
    </row>
    <row r="15" spans="1:14" x14ac:dyDescent="0.25">
      <c r="A15">
        <v>240081</v>
      </c>
      <c r="B15" t="s">
        <v>32</v>
      </c>
      <c r="C15" s="2">
        <v>43908.886620370373</v>
      </c>
      <c r="D15">
        <v>314</v>
      </c>
      <c r="E15">
        <v>1200</v>
      </c>
      <c r="F15">
        <f t="shared" si="0"/>
        <v>0.26166666666666666</v>
      </c>
      <c r="G15">
        <f t="shared" si="1"/>
        <v>8.5876256613753092</v>
      </c>
      <c r="H15">
        <f t="shared" si="2"/>
        <v>5.9083358363906456E-2</v>
      </c>
    </row>
    <row r="16" spans="1:14" x14ac:dyDescent="0.25">
      <c r="A16">
        <v>240081</v>
      </c>
      <c r="B16" t="s">
        <v>32</v>
      </c>
      <c r="C16" s="2">
        <v>43909.866423611107</v>
      </c>
      <c r="D16">
        <v>1200</v>
      </c>
      <c r="E16">
        <v>1200</v>
      </c>
      <c r="F16">
        <f t="shared" si="0"/>
        <v>1</v>
      </c>
      <c r="G16">
        <f t="shared" si="1"/>
        <v>8.4476537698418337</v>
      </c>
      <c r="H16">
        <f t="shared" si="2"/>
        <v>0.23133998632474498</v>
      </c>
    </row>
    <row r="17" spans="1:8" x14ac:dyDescent="0.25">
      <c r="A17">
        <v>240081</v>
      </c>
      <c r="B17" t="s">
        <v>32</v>
      </c>
      <c r="C17" s="2">
        <v>43911.795034722221</v>
      </c>
      <c r="D17">
        <v>309</v>
      </c>
      <c r="E17">
        <v>1500</v>
      </c>
      <c r="F17">
        <f t="shared" si="0"/>
        <v>0.20599999999999999</v>
      </c>
      <c r="G17">
        <f t="shared" si="1"/>
        <v>8.1721378968255269</v>
      </c>
      <c r="H17">
        <f t="shared" si="2"/>
        <v>4.9986480716965223E-2</v>
      </c>
    </row>
    <row r="18" spans="1:8" x14ac:dyDescent="0.25">
      <c r="A18">
        <v>240081</v>
      </c>
      <c r="B18" t="s">
        <v>32</v>
      </c>
      <c r="C18" s="2">
        <v>43913.375277777777</v>
      </c>
      <c r="D18">
        <v>576</v>
      </c>
      <c r="E18">
        <v>1500</v>
      </c>
      <c r="F18">
        <f t="shared" si="0"/>
        <v>0.38400000000000001</v>
      </c>
      <c r="G18">
        <f t="shared" si="1"/>
        <v>7.9463888888889675</v>
      </c>
      <c r="H18">
        <f t="shared" si="2"/>
        <v>9.6896004914684628E-2</v>
      </c>
    </row>
    <row r="19" spans="1:8" x14ac:dyDescent="0.25">
      <c r="A19">
        <v>240081</v>
      </c>
      <c r="B19" t="s">
        <v>32</v>
      </c>
      <c r="C19" s="2">
        <v>43913.669548611113</v>
      </c>
      <c r="D19">
        <v>790</v>
      </c>
      <c r="E19">
        <v>2100</v>
      </c>
      <c r="F19">
        <f t="shared" si="0"/>
        <v>0.37619047619047619</v>
      </c>
      <c r="G19">
        <f t="shared" si="1"/>
        <v>7.9043501984124305</v>
      </c>
      <c r="H19">
        <f t="shared" si="2"/>
        <v>9.5619434312484181E-2</v>
      </c>
    </row>
    <row r="20" spans="1:8" x14ac:dyDescent="0.25">
      <c r="A20">
        <v>240081</v>
      </c>
      <c r="B20" t="s">
        <v>32</v>
      </c>
      <c r="C20" s="2">
        <v>43913.846215277779</v>
      </c>
      <c r="D20">
        <v>875</v>
      </c>
      <c r="E20">
        <v>1200</v>
      </c>
      <c r="F20">
        <f t="shared" si="0"/>
        <v>0.72916666666666663</v>
      </c>
      <c r="G20">
        <f t="shared" si="1"/>
        <v>7.8791121031743909</v>
      </c>
      <c r="H20">
        <f t="shared" si="2"/>
        <v>0.1861506411644677</v>
      </c>
    </row>
    <row r="21" spans="1:8" x14ac:dyDescent="0.25">
      <c r="A21">
        <v>240081</v>
      </c>
      <c r="B21" t="s">
        <v>32</v>
      </c>
      <c r="C21" s="2">
        <v>43915.783194444448</v>
      </c>
      <c r="D21">
        <v>1864</v>
      </c>
      <c r="E21">
        <v>2400</v>
      </c>
      <c r="F21">
        <f t="shared" si="0"/>
        <v>0.77666666666666662</v>
      </c>
      <c r="G21">
        <f t="shared" si="1"/>
        <v>7.602400793650304</v>
      </c>
      <c r="H21">
        <f t="shared" si="2"/>
        <v>0.20801612255692142</v>
      </c>
    </row>
    <row r="22" spans="1:8" x14ac:dyDescent="0.25">
      <c r="A22">
        <v>240081</v>
      </c>
      <c r="B22" t="s">
        <v>32</v>
      </c>
      <c r="C22" s="2">
        <v>43915.826979166668</v>
      </c>
      <c r="D22">
        <v>1200</v>
      </c>
      <c r="E22">
        <v>1200</v>
      </c>
      <c r="F22">
        <f t="shared" si="0"/>
        <v>1</v>
      </c>
      <c r="G22">
        <f t="shared" si="1"/>
        <v>7.5961458333331393</v>
      </c>
      <c r="H22">
        <f t="shared" si="2"/>
        <v>0.26812237840067921</v>
      </c>
    </row>
    <row r="23" spans="1:8" x14ac:dyDescent="0.25">
      <c r="A23">
        <v>240081</v>
      </c>
      <c r="B23" t="s">
        <v>32</v>
      </c>
      <c r="C23" s="2">
        <v>43917.357870370368</v>
      </c>
      <c r="D23">
        <v>1717</v>
      </c>
      <c r="E23">
        <v>1800</v>
      </c>
      <c r="F23">
        <f t="shared" si="0"/>
        <v>0.9538888888888889</v>
      </c>
      <c r="G23">
        <f t="shared" si="1"/>
        <v>7.3774470899474442</v>
      </c>
      <c r="H23">
        <f t="shared" si="2"/>
        <v>0.26563761583618911</v>
      </c>
    </row>
    <row r="24" spans="1:8" x14ac:dyDescent="0.25">
      <c r="A24">
        <v>240081</v>
      </c>
      <c r="B24" t="s">
        <v>32</v>
      </c>
      <c r="C24" s="2">
        <v>43917.781030092592</v>
      </c>
      <c r="D24">
        <v>1953</v>
      </c>
      <c r="E24">
        <v>2100</v>
      </c>
      <c r="F24">
        <f t="shared" si="0"/>
        <v>0.93</v>
      </c>
      <c r="G24">
        <f t="shared" si="1"/>
        <v>7.3169957010582687</v>
      </c>
      <c r="H24">
        <f t="shared" si="2"/>
        <v>0.26171231105580683</v>
      </c>
    </row>
    <row r="25" spans="1:8" x14ac:dyDescent="0.25">
      <c r="A25">
        <v>240081</v>
      </c>
      <c r="B25" t="s">
        <v>32</v>
      </c>
      <c r="C25" s="2">
        <v>43920.343506944453</v>
      </c>
      <c r="D25">
        <v>1052</v>
      </c>
      <c r="E25">
        <v>1500</v>
      </c>
      <c r="F25">
        <f t="shared" si="0"/>
        <v>0.70133333333333336</v>
      </c>
      <c r="G25">
        <f t="shared" si="1"/>
        <v>6.9509275793638414</v>
      </c>
      <c r="H25">
        <f t="shared" si="2"/>
        <v>0.21028827378921056</v>
      </c>
    </row>
    <row r="26" spans="1:8" x14ac:dyDescent="0.25">
      <c r="A26">
        <v>240081</v>
      </c>
      <c r="B26" t="s">
        <v>32</v>
      </c>
      <c r="C26" s="2">
        <v>43920.867199074077</v>
      </c>
      <c r="D26">
        <v>118</v>
      </c>
      <c r="E26">
        <v>1500</v>
      </c>
      <c r="F26">
        <f t="shared" si="0"/>
        <v>7.8666666666666663E-2</v>
      </c>
      <c r="G26">
        <f t="shared" si="1"/>
        <v>6.8761144179890312</v>
      </c>
      <c r="H26">
        <f t="shared" si="2"/>
        <v>2.3895249795291715E-2</v>
      </c>
    </row>
    <row r="27" spans="1:8" x14ac:dyDescent="0.25">
      <c r="A27">
        <v>240081</v>
      </c>
      <c r="B27" t="s">
        <v>32</v>
      </c>
      <c r="C27" s="2">
        <v>43921.788923611108</v>
      </c>
      <c r="D27">
        <v>1115</v>
      </c>
      <c r="E27">
        <v>1800</v>
      </c>
      <c r="F27">
        <f t="shared" si="0"/>
        <v>0.61944444444444446</v>
      </c>
      <c r="G27">
        <f t="shared" si="1"/>
        <v>6.7444394841274642</v>
      </c>
      <c r="H27">
        <f t="shared" si="2"/>
        <v>0.19250087819551753</v>
      </c>
    </row>
    <row r="28" spans="1:8" x14ac:dyDescent="0.25">
      <c r="A28">
        <v>240081</v>
      </c>
      <c r="B28" t="s">
        <v>32</v>
      </c>
      <c r="C28" s="2">
        <v>43922.84479166667</v>
      </c>
      <c r="D28">
        <v>1200</v>
      </c>
      <c r="E28">
        <v>1200</v>
      </c>
      <c r="F28">
        <f t="shared" si="0"/>
        <v>1</v>
      </c>
      <c r="G28">
        <f t="shared" si="1"/>
        <v>6.593601190475705</v>
      </c>
      <c r="H28">
        <f t="shared" si="2"/>
        <v>0.3189936702952692</v>
      </c>
    </row>
    <row r="29" spans="1:8" x14ac:dyDescent="0.25">
      <c r="A29">
        <v>240081</v>
      </c>
      <c r="B29" t="s">
        <v>32</v>
      </c>
      <c r="C29" s="2">
        <v>43923.344305555547</v>
      </c>
      <c r="D29">
        <v>1800</v>
      </c>
      <c r="E29">
        <v>1800</v>
      </c>
      <c r="F29">
        <f t="shared" si="0"/>
        <v>1</v>
      </c>
      <c r="G29">
        <f t="shared" si="1"/>
        <v>6.5222420634932599</v>
      </c>
      <c r="H29">
        <f t="shared" si="2"/>
        <v>0.32296270581139008</v>
      </c>
    </row>
    <row r="30" spans="1:8" x14ac:dyDescent="0.25">
      <c r="A30">
        <v>240081</v>
      </c>
      <c r="B30" t="s">
        <v>32</v>
      </c>
      <c r="C30" s="2">
        <v>43926.229016203702</v>
      </c>
      <c r="D30">
        <v>849</v>
      </c>
      <c r="E30">
        <v>1500</v>
      </c>
      <c r="F30">
        <f t="shared" si="0"/>
        <v>0.56599999999999995</v>
      </c>
      <c r="G30">
        <f t="shared" si="1"/>
        <v>6.1101405423282165</v>
      </c>
      <c r="H30">
        <f t="shared" si="2"/>
        <v>0.19632813268628702</v>
      </c>
    </row>
    <row r="31" spans="1:8" x14ac:dyDescent="0.25">
      <c r="A31">
        <v>240081</v>
      </c>
      <c r="B31" t="s">
        <v>32</v>
      </c>
      <c r="C31" s="2">
        <v>43927.863125000003</v>
      </c>
      <c r="D31">
        <v>92</v>
      </c>
      <c r="E31">
        <v>1200</v>
      </c>
      <c r="F31">
        <f t="shared" si="0"/>
        <v>7.6666666666666661E-2</v>
      </c>
      <c r="G31">
        <f t="shared" si="1"/>
        <v>5.8766964285709298</v>
      </c>
      <c r="H31">
        <f t="shared" si="2"/>
        <v>2.7691157271094356E-2</v>
      </c>
    </row>
    <row r="32" spans="1:8" x14ac:dyDescent="0.25">
      <c r="A32">
        <v>240081</v>
      </c>
      <c r="B32" t="s">
        <v>32</v>
      </c>
      <c r="C32" s="2">
        <v>43928.277187500003</v>
      </c>
      <c r="D32">
        <v>300</v>
      </c>
      <c r="E32">
        <v>300</v>
      </c>
      <c r="F32">
        <f t="shared" si="0"/>
        <v>1</v>
      </c>
      <c r="G32">
        <f t="shared" si="1"/>
        <v>5.8175446428566442</v>
      </c>
      <c r="H32">
        <f t="shared" si="2"/>
        <v>0.36491031542921065</v>
      </c>
    </row>
    <row r="33" spans="1:8" x14ac:dyDescent="0.25">
      <c r="A33">
        <v>240081</v>
      </c>
      <c r="B33" t="s">
        <v>32</v>
      </c>
      <c r="C33" s="2">
        <v>43928.533900462957</v>
      </c>
      <c r="D33">
        <v>77</v>
      </c>
      <c r="E33">
        <v>2100</v>
      </c>
      <c r="F33">
        <f t="shared" si="0"/>
        <v>3.6666666666666667E-2</v>
      </c>
      <c r="G33">
        <f t="shared" si="1"/>
        <v>5.7808713624347421</v>
      </c>
      <c r="H33">
        <f t="shared" si="2"/>
        <v>1.3465345776859136E-2</v>
      </c>
    </row>
    <row r="34" spans="1:8" x14ac:dyDescent="0.25">
      <c r="A34">
        <v>240081</v>
      </c>
      <c r="B34" t="s">
        <v>32</v>
      </c>
      <c r="C34" s="2">
        <v>43928.777905092589</v>
      </c>
      <c r="D34">
        <v>1850</v>
      </c>
      <c r="E34">
        <v>2100</v>
      </c>
      <c r="F34">
        <f t="shared" si="0"/>
        <v>0.88095238095238093</v>
      </c>
      <c r="G34">
        <f t="shared" si="1"/>
        <v>5.7460135582015415</v>
      </c>
      <c r="H34">
        <f t="shared" si="2"/>
        <v>0.32547813929568314</v>
      </c>
    </row>
    <row r="35" spans="1:8" x14ac:dyDescent="0.25">
      <c r="A35">
        <v>240081</v>
      </c>
      <c r="B35" t="s">
        <v>32</v>
      </c>
      <c r="C35" s="2">
        <v>43929.279074074067</v>
      </c>
      <c r="D35">
        <v>180</v>
      </c>
      <c r="E35">
        <v>300</v>
      </c>
      <c r="F35">
        <f t="shared" si="0"/>
        <v>0.6</v>
      </c>
      <c r="G35">
        <f t="shared" si="1"/>
        <v>5.6744179894189335</v>
      </c>
      <c r="H35">
        <f t="shared" si="2"/>
        <v>0.2244443848513154</v>
      </c>
    </row>
    <row r="36" spans="1:8" x14ac:dyDescent="0.25">
      <c r="A36">
        <v>240081</v>
      </c>
      <c r="B36" t="s">
        <v>32</v>
      </c>
      <c r="C36" s="2">
        <v>43929.378506944442</v>
      </c>
      <c r="D36">
        <v>597</v>
      </c>
      <c r="E36">
        <v>1800</v>
      </c>
      <c r="F36">
        <f t="shared" si="0"/>
        <v>0.33166666666666667</v>
      </c>
      <c r="G36">
        <f t="shared" si="1"/>
        <v>5.6602132936511351</v>
      </c>
      <c r="H36">
        <f t="shared" si="2"/>
        <v>0.12437363580603705</v>
      </c>
    </row>
    <row r="37" spans="1:8" x14ac:dyDescent="0.25">
      <c r="A37">
        <v>240081</v>
      </c>
      <c r="B37" t="s">
        <v>32</v>
      </c>
      <c r="C37" s="2">
        <v>43929.846909722219</v>
      </c>
      <c r="D37">
        <v>892</v>
      </c>
      <c r="E37">
        <v>1500</v>
      </c>
      <c r="F37">
        <f t="shared" si="0"/>
        <v>0.59466666666666668</v>
      </c>
      <c r="G37">
        <f t="shared" si="1"/>
        <v>5.5932986111116145</v>
      </c>
      <c r="H37">
        <f t="shared" si="2"/>
        <v>0.22559835634472949</v>
      </c>
    </row>
    <row r="38" spans="1:8" x14ac:dyDescent="0.25">
      <c r="A38">
        <v>240081</v>
      </c>
      <c r="B38" t="s">
        <v>32</v>
      </c>
      <c r="C38" s="2">
        <v>43935.668715277781</v>
      </c>
      <c r="D38">
        <v>656</v>
      </c>
      <c r="E38">
        <v>2100</v>
      </c>
      <c r="F38">
        <f t="shared" si="0"/>
        <v>0.31238095238095237</v>
      </c>
      <c r="G38">
        <f t="shared" si="1"/>
        <v>4.7616121031740999</v>
      </c>
      <c r="H38">
        <f t="shared" si="2"/>
        <v>0.13687922164394348</v>
      </c>
    </row>
    <row r="39" spans="1:8" x14ac:dyDescent="0.25">
      <c r="A39">
        <v>240081</v>
      </c>
      <c r="B39" t="s">
        <v>32</v>
      </c>
      <c r="C39" s="2">
        <v>43935.806701388887</v>
      </c>
      <c r="D39">
        <v>201</v>
      </c>
      <c r="E39">
        <v>2400</v>
      </c>
      <c r="F39">
        <f t="shared" si="0"/>
        <v>8.3750000000000005E-2</v>
      </c>
      <c r="G39">
        <f t="shared" si="1"/>
        <v>4.7418998015876115</v>
      </c>
      <c r="H39">
        <f t="shared" si="2"/>
        <v>3.6823180479885198E-2</v>
      </c>
    </row>
    <row r="40" spans="1:8" x14ac:dyDescent="0.25">
      <c r="A40">
        <v>240081</v>
      </c>
      <c r="B40" t="s">
        <v>32</v>
      </c>
      <c r="C40" s="2">
        <v>43935.871006944442</v>
      </c>
      <c r="D40">
        <v>294</v>
      </c>
      <c r="E40">
        <v>1500</v>
      </c>
      <c r="F40">
        <f t="shared" si="0"/>
        <v>0.19600000000000001</v>
      </c>
      <c r="G40">
        <f t="shared" si="1"/>
        <v>4.7327132936510941</v>
      </c>
      <c r="H40">
        <f t="shared" si="2"/>
        <v>8.6314529151992336E-2</v>
      </c>
    </row>
    <row r="41" spans="1:8" x14ac:dyDescent="0.25">
      <c r="A41">
        <v>240081</v>
      </c>
      <c r="B41" t="s">
        <v>32</v>
      </c>
      <c r="C41" s="2">
        <v>43936.277662037042</v>
      </c>
      <c r="D41">
        <v>300</v>
      </c>
      <c r="E41">
        <v>300</v>
      </c>
      <c r="F41">
        <f t="shared" si="0"/>
        <v>1</v>
      </c>
      <c r="G41">
        <f t="shared" si="1"/>
        <v>4.6746197089939541</v>
      </c>
      <c r="H41">
        <f t="shared" si="2"/>
        <v>0.4448358826519534</v>
      </c>
    </row>
    <row r="42" spans="1:8" x14ac:dyDescent="0.25">
      <c r="A42">
        <v>240081</v>
      </c>
      <c r="B42" t="s">
        <v>32</v>
      </c>
      <c r="C42" s="2">
        <v>43936.66741898148</v>
      </c>
      <c r="D42">
        <v>465</v>
      </c>
      <c r="E42">
        <v>2100</v>
      </c>
      <c r="F42">
        <f t="shared" si="0"/>
        <v>0.22142857142857142</v>
      </c>
      <c r="G42">
        <f t="shared" si="1"/>
        <v>4.6189401455028145</v>
      </c>
      <c r="H42">
        <f t="shared" si="2"/>
        <v>9.9454348128650227E-2</v>
      </c>
    </row>
    <row r="43" spans="1:8" x14ac:dyDescent="0.25">
      <c r="A43">
        <v>240081</v>
      </c>
      <c r="B43" t="s">
        <v>32</v>
      </c>
      <c r="C43" s="2">
        <v>43936.789421296293</v>
      </c>
      <c r="D43">
        <v>1694</v>
      </c>
      <c r="E43">
        <v>2400</v>
      </c>
      <c r="F43">
        <f t="shared" si="0"/>
        <v>0.70583333333333331</v>
      </c>
      <c r="G43">
        <f t="shared" si="1"/>
        <v>4.6015112433867342</v>
      </c>
      <c r="H43">
        <f t="shared" si="2"/>
        <v>0.31798302526671035</v>
      </c>
    </row>
    <row r="44" spans="1:8" x14ac:dyDescent="0.25">
      <c r="A44">
        <v>240081</v>
      </c>
      <c r="B44" t="s">
        <v>32</v>
      </c>
      <c r="C44" s="2">
        <v>43937.668622685182</v>
      </c>
      <c r="D44">
        <v>970</v>
      </c>
      <c r="E44">
        <v>2100</v>
      </c>
      <c r="F44">
        <f t="shared" si="0"/>
        <v>0.46190476190476193</v>
      </c>
      <c r="G44">
        <f t="shared" si="1"/>
        <v>4.4759110449740547</v>
      </c>
      <c r="H44">
        <f t="shared" si="2"/>
        <v>0.21267016543984166</v>
      </c>
    </row>
    <row r="45" spans="1:8" x14ac:dyDescent="0.25">
      <c r="A45">
        <v>240081</v>
      </c>
      <c r="B45" t="s">
        <v>32</v>
      </c>
      <c r="C45" s="2">
        <v>43942.369467592587</v>
      </c>
      <c r="D45">
        <v>382</v>
      </c>
      <c r="E45">
        <v>1800</v>
      </c>
      <c r="F45">
        <f t="shared" si="0"/>
        <v>0.21222222222222223</v>
      </c>
      <c r="G45">
        <f t="shared" si="1"/>
        <v>3.8043617724875469</v>
      </c>
      <c r="H45">
        <f t="shared" si="2"/>
        <v>0.10977011162492674</v>
      </c>
    </row>
    <row r="46" spans="1:8" x14ac:dyDescent="0.25">
      <c r="A46">
        <v>240081</v>
      </c>
      <c r="B46" t="s">
        <v>32</v>
      </c>
      <c r="C46" s="2">
        <v>43942.782222222217</v>
      </c>
      <c r="D46">
        <v>1777</v>
      </c>
      <c r="E46">
        <v>2100</v>
      </c>
      <c r="F46">
        <f t="shared" si="0"/>
        <v>0.84619047619047616</v>
      </c>
      <c r="G46">
        <f t="shared" si="1"/>
        <v>3.74539682539762</v>
      </c>
      <c r="H46">
        <f t="shared" si="2"/>
        <v>0.44217983728997995</v>
      </c>
    </row>
    <row r="47" spans="1:8" x14ac:dyDescent="0.25">
      <c r="A47">
        <v>240081</v>
      </c>
      <c r="B47" t="s">
        <v>32</v>
      </c>
      <c r="C47" s="2">
        <v>43944.781724537039</v>
      </c>
      <c r="D47">
        <v>1775</v>
      </c>
      <c r="E47">
        <v>2400</v>
      </c>
      <c r="F47">
        <f t="shared" si="0"/>
        <v>0.73958333333333337</v>
      </c>
      <c r="G47">
        <f t="shared" si="1"/>
        <v>3.4597536375658819</v>
      </c>
      <c r="H47">
        <f t="shared" si="2"/>
        <v>0.40608290762519389</v>
      </c>
    </row>
    <row r="48" spans="1:8" x14ac:dyDescent="0.25">
      <c r="A48">
        <v>240081</v>
      </c>
      <c r="B48" t="s">
        <v>32</v>
      </c>
      <c r="C48" s="2">
        <v>43945.78019675926</v>
      </c>
      <c r="D48">
        <v>1586</v>
      </c>
      <c r="E48">
        <v>2400</v>
      </c>
      <c r="F48">
        <f t="shared" si="0"/>
        <v>0.66083333333333338</v>
      </c>
      <c r="G48">
        <f t="shared" si="1"/>
        <v>3.3171147486770809</v>
      </c>
      <c r="H48">
        <f t="shared" si="2"/>
        <v>0.371923980885149</v>
      </c>
    </row>
    <row r="49" spans="1:8" x14ac:dyDescent="0.25">
      <c r="A49">
        <v>240081</v>
      </c>
      <c r="B49" t="s">
        <v>32</v>
      </c>
      <c r="C49" s="2">
        <v>43946.794074074067</v>
      </c>
      <c r="D49">
        <v>692</v>
      </c>
      <c r="E49">
        <v>1800</v>
      </c>
      <c r="F49">
        <f t="shared" si="0"/>
        <v>0.38444444444444442</v>
      </c>
      <c r="G49">
        <f t="shared" si="1"/>
        <v>3.1722751322761593</v>
      </c>
      <c r="H49">
        <f t="shared" si="2"/>
        <v>0.22186872979270483</v>
      </c>
    </row>
    <row r="50" spans="1:8" x14ac:dyDescent="0.25">
      <c r="A50">
        <v>240081</v>
      </c>
      <c r="B50" t="s">
        <v>32</v>
      </c>
      <c r="C50" s="2">
        <v>43948.368854166663</v>
      </c>
      <c r="D50">
        <v>1131</v>
      </c>
      <c r="E50">
        <v>1500</v>
      </c>
      <c r="F50">
        <f t="shared" si="0"/>
        <v>0.754</v>
      </c>
      <c r="G50">
        <f t="shared" si="1"/>
        <v>2.9473065476195188</v>
      </c>
      <c r="H50">
        <f t="shared" si="2"/>
        <v>0.45244357628661253</v>
      </c>
    </row>
    <row r="51" spans="1:8" x14ac:dyDescent="0.25">
      <c r="A51">
        <v>240081</v>
      </c>
      <c r="B51" t="s">
        <v>32</v>
      </c>
      <c r="C51" s="2">
        <v>43948.782835648148</v>
      </c>
      <c r="D51">
        <v>1896</v>
      </c>
      <c r="E51">
        <v>2400</v>
      </c>
      <c r="F51">
        <f t="shared" si="0"/>
        <v>0.79</v>
      </c>
      <c r="G51">
        <f t="shared" si="1"/>
        <v>2.8881663359788945</v>
      </c>
      <c r="H51">
        <f t="shared" si="2"/>
        <v>0.47892875876993224</v>
      </c>
    </row>
    <row r="52" spans="1:8" x14ac:dyDescent="0.25">
      <c r="A52">
        <v>240081</v>
      </c>
      <c r="B52" t="s">
        <v>32</v>
      </c>
      <c r="C52" s="2">
        <v>43949.674861111111</v>
      </c>
      <c r="D52">
        <v>492</v>
      </c>
      <c r="E52">
        <v>2100</v>
      </c>
      <c r="F52">
        <f t="shared" si="0"/>
        <v>0.23428571428571429</v>
      </c>
      <c r="G52">
        <f t="shared" si="1"/>
        <v>2.7607341269841918</v>
      </c>
      <c r="H52">
        <f t="shared" si="2"/>
        <v>0.14520442870725844</v>
      </c>
    </row>
    <row r="53" spans="1:8" x14ac:dyDescent="0.25">
      <c r="A53">
        <v>240081</v>
      </c>
      <c r="B53" t="s">
        <v>32</v>
      </c>
      <c r="C53" s="2">
        <v>43951.30363425926</v>
      </c>
      <c r="D53">
        <v>343</v>
      </c>
      <c r="E53">
        <v>600</v>
      </c>
      <c r="F53">
        <f t="shared" si="0"/>
        <v>0.57166666666666666</v>
      </c>
      <c r="G53">
        <f t="shared" si="1"/>
        <v>2.5280522486770809</v>
      </c>
      <c r="H53">
        <f t="shared" si="2"/>
        <v>0.36888243864194092</v>
      </c>
    </row>
    <row r="54" spans="1:8" x14ac:dyDescent="0.25">
      <c r="A54">
        <v>240081</v>
      </c>
      <c r="B54" t="s">
        <v>32</v>
      </c>
      <c r="C54" s="2">
        <v>43951.321909722217</v>
      </c>
      <c r="D54">
        <v>300</v>
      </c>
      <c r="E54">
        <v>300</v>
      </c>
      <c r="F54">
        <f t="shared" si="0"/>
        <v>1</v>
      </c>
      <c r="G54">
        <f t="shared" si="1"/>
        <v>2.5254414682546797</v>
      </c>
      <c r="H54">
        <f t="shared" si="2"/>
        <v>0.6455674003981996</v>
      </c>
    </row>
    <row r="55" spans="1:8" x14ac:dyDescent="0.25">
      <c r="A55">
        <v>240081</v>
      </c>
      <c r="B55" t="s">
        <v>32</v>
      </c>
      <c r="C55" s="2">
        <v>43951.7815625</v>
      </c>
      <c r="D55">
        <v>1714</v>
      </c>
      <c r="E55">
        <v>2400</v>
      </c>
      <c r="F55">
        <f t="shared" si="0"/>
        <v>0.71416666666666662</v>
      </c>
      <c r="G55">
        <f t="shared" si="1"/>
        <v>2.4597767857142441</v>
      </c>
      <c r="H55">
        <f t="shared" si="2"/>
        <v>0.46631880254324637</v>
      </c>
    </row>
    <row r="56" spans="1:8" x14ac:dyDescent="0.25">
      <c r="A56">
        <v>240081</v>
      </c>
      <c r="B56" t="s">
        <v>32</v>
      </c>
      <c r="C56" s="2">
        <v>43951.846655092602</v>
      </c>
      <c r="D56">
        <v>132</v>
      </c>
      <c r="E56">
        <v>1200</v>
      </c>
      <c r="F56">
        <f t="shared" si="0"/>
        <v>0.11</v>
      </c>
      <c r="G56">
        <f t="shared" si="1"/>
        <v>2.4504778439139563</v>
      </c>
      <c r="H56">
        <f t="shared" si="2"/>
        <v>7.1940897485265998E-2</v>
      </c>
    </row>
    <row r="57" spans="1:8" x14ac:dyDescent="0.25">
      <c r="A57">
        <v>240081</v>
      </c>
      <c r="B57" t="s">
        <v>32</v>
      </c>
      <c r="C57" s="2">
        <v>43955.78261574074</v>
      </c>
      <c r="D57">
        <v>1982</v>
      </c>
      <c r="E57">
        <v>2100</v>
      </c>
      <c r="F57">
        <f t="shared" si="0"/>
        <v>0.94380952380952376</v>
      </c>
      <c r="G57">
        <f t="shared" si="1"/>
        <v>1.8881977513228776</v>
      </c>
      <c r="H57">
        <f t="shared" si="2"/>
        <v>0.68042978361161244</v>
      </c>
    </row>
    <row r="58" spans="1:8" x14ac:dyDescent="0.25">
      <c r="A58">
        <v>240081</v>
      </c>
      <c r="B58" t="s">
        <v>32</v>
      </c>
      <c r="C58" s="2">
        <v>43955.78261574074</v>
      </c>
      <c r="D58">
        <v>1500</v>
      </c>
      <c r="E58">
        <v>1500</v>
      </c>
      <c r="F58">
        <f t="shared" si="0"/>
        <v>1</v>
      </c>
      <c r="G58">
        <f t="shared" si="1"/>
        <v>1.8881977513228776</v>
      </c>
      <c r="H58">
        <f t="shared" si="2"/>
        <v>0.72093973036548242</v>
      </c>
    </row>
    <row r="59" spans="1:8" x14ac:dyDescent="0.25">
      <c r="A59">
        <v>240081</v>
      </c>
      <c r="B59" t="s">
        <v>32</v>
      </c>
      <c r="C59" s="2">
        <v>43956.370393518519</v>
      </c>
      <c r="D59">
        <v>1261</v>
      </c>
      <c r="E59">
        <v>1800</v>
      </c>
      <c r="F59">
        <f t="shared" si="0"/>
        <v>0.7005555555555556</v>
      </c>
      <c r="G59">
        <f t="shared" si="1"/>
        <v>1.8042294973544943</v>
      </c>
      <c r="H59">
        <f t="shared" si="2"/>
        <v>0.5124609555251467</v>
      </c>
    </row>
    <row r="60" spans="1:8" x14ac:dyDescent="0.25">
      <c r="A60">
        <v>240081</v>
      </c>
      <c r="B60" t="s">
        <v>32</v>
      </c>
      <c r="C60" s="2">
        <v>43956.535393518519</v>
      </c>
      <c r="D60">
        <v>1442</v>
      </c>
      <c r="E60">
        <v>2100</v>
      </c>
      <c r="F60">
        <f t="shared" si="0"/>
        <v>0.68666666666666665</v>
      </c>
      <c r="G60">
        <f t="shared" si="1"/>
        <v>1.780658068782941</v>
      </c>
      <c r="H60">
        <f t="shared" si="2"/>
        <v>0.50435704664339898</v>
      </c>
    </row>
    <row r="61" spans="1:8" x14ac:dyDescent="0.25">
      <c r="A61">
        <v>240081</v>
      </c>
      <c r="B61" t="s">
        <v>32</v>
      </c>
      <c r="C61" s="2">
        <v>43957.364386574067</v>
      </c>
      <c r="D61">
        <v>465</v>
      </c>
      <c r="E61">
        <v>1800</v>
      </c>
      <c r="F61">
        <f t="shared" si="0"/>
        <v>0.25833333333333336</v>
      </c>
      <c r="G61">
        <f t="shared" si="1"/>
        <v>1.6622304894190165</v>
      </c>
      <c r="H61">
        <f t="shared" si="2"/>
        <v>0.19368016148271225</v>
      </c>
    </row>
    <row r="62" spans="1:8" x14ac:dyDescent="0.25">
      <c r="A62">
        <v>240081</v>
      </c>
      <c r="B62" t="s">
        <v>32</v>
      </c>
      <c r="C62" s="2">
        <v>43958.365995370368</v>
      </c>
      <c r="D62">
        <v>1366</v>
      </c>
      <c r="E62">
        <v>1800</v>
      </c>
      <c r="F62">
        <f t="shared" si="0"/>
        <v>0.75888888888888884</v>
      </c>
      <c r="G62">
        <f t="shared" si="1"/>
        <v>1.5191435185188311</v>
      </c>
      <c r="H62">
        <f t="shared" si="2"/>
        <v>0.58324530639923711</v>
      </c>
    </row>
    <row r="63" spans="1:8" x14ac:dyDescent="0.25">
      <c r="A63">
        <v>240081</v>
      </c>
      <c r="B63" t="s">
        <v>32</v>
      </c>
      <c r="C63" s="2">
        <v>43960.790648148148</v>
      </c>
      <c r="D63">
        <v>688</v>
      </c>
      <c r="E63">
        <v>1500</v>
      </c>
      <c r="F63">
        <f t="shared" si="0"/>
        <v>0.45866666666666667</v>
      </c>
      <c r="G63">
        <f t="shared" si="1"/>
        <v>1.1727645502646087</v>
      </c>
      <c r="H63">
        <f t="shared" si="2"/>
        <v>0.37431553547383267</v>
      </c>
    </row>
    <row r="64" spans="1:8" x14ac:dyDescent="0.25">
      <c r="A64">
        <v>240081</v>
      </c>
      <c r="B64" t="s">
        <v>32</v>
      </c>
      <c r="C64" s="2">
        <v>43962.791828703703</v>
      </c>
      <c r="D64">
        <v>886</v>
      </c>
      <c r="E64">
        <v>1800</v>
      </c>
      <c r="F64">
        <f t="shared" si="0"/>
        <v>0.49222222222222223</v>
      </c>
      <c r="G64">
        <f t="shared" si="1"/>
        <v>0.88688161375674623</v>
      </c>
      <c r="H64">
        <f t="shared" si="2"/>
        <v>0.42210133400611355</v>
      </c>
    </row>
    <row r="65" spans="1:8" x14ac:dyDescent="0.25">
      <c r="A65">
        <v>240081</v>
      </c>
      <c r="B65" t="s">
        <v>32</v>
      </c>
      <c r="C65" s="2">
        <v>43963.787256944437</v>
      </c>
      <c r="D65">
        <v>1425</v>
      </c>
      <c r="E65">
        <v>2100</v>
      </c>
      <c r="F65">
        <f t="shared" si="0"/>
        <v>0.6785714285714286</v>
      </c>
      <c r="G65">
        <f t="shared" si="1"/>
        <v>0.744677579366128</v>
      </c>
      <c r="H65">
        <f t="shared" si="2"/>
        <v>0.59642109739205484</v>
      </c>
    </row>
    <row r="66" spans="1:8" x14ac:dyDescent="0.25">
      <c r="A66">
        <v>240081</v>
      </c>
      <c r="B66" t="s">
        <v>32</v>
      </c>
      <c r="C66" s="2">
        <v>43964.364814814813</v>
      </c>
      <c r="D66">
        <v>761</v>
      </c>
      <c r="E66">
        <v>1800</v>
      </c>
      <c r="F66">
        <f t="shared" ref="F66:F129" si="6">MIN(D66/E66,1)</f>
        <v>0.42277777777777775</v>
      </c>
      <c r="G66">
        <f t="shared" ref="G66:G129" si="7">(DATE(2020,5,18)-C66)/7</f>
        <v>0.66216931216955088</v>
      </c>
      <c r="H66">
        <f t="shared" ref="H66:H129" si="8">F66*0.5^(G66/4)</f>
        <v>0.37694583184411862</v>
      </c>
    </row>
    <row r="67" spans="1:8" x14ac:dyDescent="0.25">
      <c r="A67">
        <v>240081</v>
      </c>
      <c r="B67" t="s">
        <v>32</v>
      </c>
      <c r="C67" s="2">
        <v>43966.313773148147</v>
      </c>
      <c r="D67">
        <v>300</v>
      </c>
      <c r="E67">
        <v>300</v>
      </c>
      <c r="F67">
        <f t="shared" si="6"/>
        <v>1</v>
      </c>
      <c r="G67">
        <f t="shared" si="7"/>
        <v>0.38374669312179321</v>
      </c>
      <c r="H67">
        <f t="shared" si="8"/>
        <v>0.9356645676802412</v>
      </c>
    </row>
    <row r="68" spans="1:8" x14ac:dyDescent="0.25">
      <c r="A68">
        <v>240081</v>
      </c>
      <c r="B68" t="s">
        <v>32</v>
      </c>
      <c r="C68" s="2">
        <v>43966.357835648138</v>
      </c>
      <c r="D68">
        <v>923</v>
      </c>
      <c r="E68">
        <v>1800</v>
      </c>
      <c r="F68">
        <f t="shared" si="6"/>
        <v>0.51277777777777778</v>
      </c>
      <c r="G68">
        <f t="shared" si="7"/>
        <v>0.37745205026606399</v>
      </c>
      <c r="H68">
        <f t="shared" si="8"/>
        <v>0.48031162571590369</v>
      </c>
    </row>
    <row r="69" spans="1:8" x14ac:dyDescent="0.25">
      <c r="A69">
        <v>240081</v>
      </c>
      <c r="B69" t="s">
        <v>32</v>
      </c>
      <c r="C69" s="2">
        <v>43966.664363425924</v>
      </c>
      <c r="D69">
        <v>534</v>
      </c>
      <c r="E69">
        <v>2100</v>
      </c>
      <c r="F69">
        <f t="shared" si="6"/>
        <v>0.25428571428571428</v>
      </c>
      <c r="G69">
        <f t="shared" si="7"/>
        <v>0.33366236772521268</v>
      </c>
      <c r="H69">
        <f t="shared" si="8"/>
        <v>0.24000006924646708</v>
      </c>
    </row>
    <row r="70" spans="1:8" x14ac:dyDescent="0.25">
      <c r="A70">
        <v>1100411</v>
      </c>
      <c r="B70" t="s">
        <v>36</v>
      </c>
      <c r="C70" s="2">
        <v>43900.618055555547</v>
      </c>
      <c r="D70">
        <v>5455</v>
      </c>
      <c r="E70">
        <v>6300</v>
      </c>
      <c r="F70">
        <f t="shared" si="6"/>
        <v>0.86587301587301591</v>
      </c>
      <c r="G70">
        <f t="shared" si="7"/>
        <v>9.768849206350362</v>
      </c>
      <c r="H70">
        <f t="shared" si="8"/>
        <v>0.15932174223458423</v>
      </c>
    </row>
    <row r="71" spans="1:8" x14ac:dyDescent="0.25">
      <c r="A71">
        <v>1100411</v>
      </c>
      <c r="B71" t="s">
        <v>36</v>
      </c>
      <c r="C71" s="2">
        <v>43900.672210648147</v>
      </c>
      <c r="D71">
        <v>1631</v>
      </c>
      <c r="E71">
        <v>3900</v>
      </c>
      <c r="F71">
        <f t="shared" si="6"/>
        <v>0.41820512820512823</v>
      </c>
      <c r="G71">
        <f t="shared" si="7"/>
        <v>9.7611127645504894</v>
      </c>
      <c r="H71">
        <f t="shared" si="8"/>
        <v>7.7053508917659344E-2</v>
      </c>
    </row>
    <row r="72" spans="1:8" x14ac:dyDescent="0.25">
      <c r="A72">
        <v>1100411</v>
      </c>
      <c r="B72" t="s">
        <v>36</v>
      </c>
      <c r="C72" s="2">
        <v>43902.705868055556</v>
      </c>
      <c r="D72">
        <v>2359</v>
      </c>
      <c r="E72">
        <v>3900</v>
      </c>
      <c r="F72">
        <f t="shared" si="6"/>
        <v>0.60487179487179488</v>
      </c>
      <c r="G72">
        <f t="shared" si="7"/>
        <v>9.4705902777776441</v>
      </c>
      <c r="H72">
        <f t="shared" si="8"/>
        <v>0.11720075146644285</v>
      </c>
    </row>
    <row r="73" spans="1:8" x14ac:dyDescent="0.25">
      <c r="A73">
        <v>1100411</v>
      </c>
      <c r="B73" t="s">
        <v>36</v>
      </c>
      <c r="C73" s="2">
        <v>43903.632314814808</v>
      </c>
      <c r="D73">
        <v>3335</v>
      </c>
      <c r="E73">
        <v>6600</v>
      </c>
      <c r="F73">
        <f t="shared" si="6"/>
        <v>0.50530303030303025</v>
      </c>
      <c r="G73">
        <f t="shared" si="7"/>
        <v>9.3382407407417691</v>
      </c>
      <c r="H73">
        <f t="shared" si="8"/>
        <v>0.10017959238634951</v>
      </c>
    </row>
    <row r="74" spans="1:8" x14ac:dyDescent="0.25">
      <c r="A74">
        <v>1100411</v>
      </c>
      <c r="B74" t="s">
        <v>36</v>
      </c>
      <c r="C74" s="2">
        <v>43903.677453703713</v>
      </c>
      <c r="D74">
        <v>1589</v>
      </c>
      <c r="E74">
        <v>3900</v>
      </c>
      <c r="F74">
        <f t="shared" si="6"/>
        <v>0.40743589743589742</v>
      </c>
      <c r="G74">
        <f t="shared" si="7"/>
        <v>9.3317923280410469</v>
      </c>
      <c r="H74">
        <f t="shared" si="8"/>
        <v>8.086711306169414E-2</v>
      </c>
    </row>
    <row r="75" spans="1:8" x14ac:dyDescent="0.25">
      <c r="A75">
        <v>1100411</v>
      </c>
      <c r="B75" t="s">
        <v>36</v>
      </c>
      <c r="C75" s="2">
        <v>43907.616712962961</v>
      </c>
      <c r="D75">
        <v>6116</v>
      </c>
      <c r="E75">
        <v>6300</v>
      </c>
      <c r="F75">
        <f t="shared" si="6"/>
        <v>0.97079365079365076</v>
      </c>
      <c r="G75">
        <f t="shared" si="7"/>
        <v>8.7690410052912604</v>
      </c>
      <c r="H75">
        <f t="shared" si="8"/>
        <v>0.21241776418506203</v>
      </c>
    </row>
    <row r="76" spans="1:8" x14ac:dyDescent="0.25">
      <c r="A76">
        <v>1100411</v>
      </c>
      <c r="B76" t="s">
        <v>36</v>
      </c>
      <c r="C76" s="2">
        <v>43907.616712962961</v>
      </c>
      <c r="D76">
        <v>4877</v>
      </c>
      <c r="E76">
        <v>4200</v>
      </c>
      <c r="F76">
        <f t="shared" si="6"/>
        <v>1</v>
      </c>
      <c r="G76">
        <f t="shared" si="7"/>
        <v>8.7690410052912604</v>
      </c>
      <c r="H76">
        <f t="shared" si="8"/>
        <v>0.21880835748297758</v>
      </c>
    </row>
    <row r="77" spans="1:8" x14ac:dyDescent="0.25">
      <c r="A77">
        <v>1100411</v>
      </c>
      <c r="B77" t="s">
        <v>36</v>
      </c>
      <c r="C77" s="2">
        <v>43908.637164351851</v>
      </c>
      <c r="D77">
        <v>2875</v>
      </c>
      <c r="E77">
        <v>6600</v>
      </c>
      <c r="F77">
        <f t="shared" si="6"/>
        <v>0.43560606060606061</v>
      </c>
      <c r="G77">
        <f t="shared" si="7"/>
        <v>8.6232622354499266</v>
      </c>
      <c r="H77">
        <f t="shared" si="8"/>
        <v>9.7752700762362962E-2</v>
      </c>
    </row>
    <row r="78" spans="1:8" x14ac:dyDescent="0.25">
      <c r="A78">
        <v>1100411</v>
      </c>
      <c r="B78" t="s">
        <v>36</v>
      </c>
      <c r="C78" s="2">
        <v>43908.667962962973</v>
      </c>
      <c r="D78">
        <v>3645</v>
      </c>
      <c r="E78">
        <v>3900</v>
      </c>
      <c r="F78">
        <f t="shared" si="6"/>
        <v>0.93461538461538463</v>
      </c>
      <c r="G78">
        <f t="shared" si="7"/>
        <v>8.618862433861068</v>
      </c>
      <c r="H78">
        <f t="shared" si="8"/>
        <v>0.20989345448901953</v>
      </c>
    </row>
    <row r="79" spans="1:8" x14ac:dyDescent="0.25">
      <c r="A79">
        <v>1100411</v>
      </c>
      <c r="B79" t="s">
        <v>36</v>
      </c>
      <c r="C79" s="2">
        <v>43909.614629629628</v>
      </c>
      <c r="D79">
        <v>5989</v>
      </c>
      <c r="E79">
        <v>6600</v>
      </c>
      <c r="F79">
        <f t="shared" si="6"/>
        <v>0.90742424242424247</v>
      </c>
      <c r="G79">
        <f t="shared" si="7"/>
        <v>8.4836243386245247</v>
      </c>
      <c r="H79">
        <f t="shared" si="8"/>
        <v>0.20861908106689575</v>
      </c>
    </row>
    <row r="80" spans="1:8" x14ac:dyDescent="0.25">
      <c r="A80">
        <v>1100411</v>
      </c>
      <c r="B80" t="s">
        <v>36</v>
      </c>
      <c r="C80" s="2">
        <v>43909.633819444447</v>
      </c>
      <c r="D80">
        <v>2884</v>
      </c>
      <c r="E80">
        <v>3900</v>
      </c>
      <c r="F80">
        <f t="shared" si="6"/>
        <v>0.73948717948717946</v>
      </c>
      <c r="G80">
        <f t="shared" si="7"/>
        <v>8.4808829365075713</v>
      </c>
      <c r="H80">
        <f t="shared" si="8"/>
        <v>0.17009071650877153</v>
      </c>
    </row>
    <row r="81" spans="1:8" x14ac:dyDescent="0.25">
      <c r="A81">
        <v>1100411</v>
      </c>
      <c r="B81" t="s">
        <v>36</v>
      </c>
      <c r="C81" s="2">
        <v>43910.689155092587</v>
      </c>
      <c r="D81">
        <v>157</v>
      </c>
      <c r="E81">
        <v>6600</v>
      </c>
      <c r="F81">
        <f t="shared" si="6"/>
        <v>2.3787878787878788E-2</v>
      </c>
      <c r="G81">
        <f t="shared" si="7"/>
        <v>8.3301207010590588</v>
      </c>
      <c r="H81">
        <f t="shared" si="8"/>
        <v>5.6163177070982871E-3</v>
      </c>
    </row>
    <row r="82" spans="1:8" x14ac:dyDescent="0.25">
      <c r="A82">
        <v>1100411</v>
      </c>
      <c r="B82" t="s">
        <v>36</v>
      </c>
      <c r="C82" s="2">
        <v>43910.689155092587</v>
      </c>
      <c r="D82">
        <v>830</v>
      </c>
      <c r="E82">
        <v>3900</v>
      </c>
      <c r="F82">
        <f t="shared" si="6"/>
        <v>0.21282051282051281</v>
      </c>
      <c r="G82">
        <f t="shared" si="7"/>
        <v>8.3301207010590588</v>
      </c>
      <c r="H82">
        <f t="shared" si="8"/>
        <v>5.0246918829796532E-2</v>
      </c>
    </row>
    <row r="83" spans="1:8" x14ac:dyDescent="0.25">
      <c r="A83">
        <v>1100411</v>
      </c>
      <c r="B83" t="s">
        <v>36</v>
      </c>
      <c r="C83" s="2">
        <v>43914.914340277777</v>
      </c>
      <c r="D83">
        <v>201</v>
      </c>
      <c r="E83">
        <v>3900</v>
      </c>
      <c r="F83">
        <f t="shared" si="6"/>
        <v>5.153846153846154E-2</v>
      </c>
      <c r="G83">
        <f t="shared" si="7"/>
        <v>7.7265228174603964</v>
      </c>
      <c r="H83">
        <f t="shared" si="8"/>
        <v>1.3509916594079487E-2</v>
      </c>
    </row>
    <row r="84" spans="1:8" x14ac:dyDescent="0.25">
      <c r="A84">
        <v>1100411</v>
      </c>
      <c r="B84" t="s">
        <v>36</v>
      </c>
      <c r="C84" s="2">
        <v>43916.900416666656</v>
      </c>
      <c r="D84">
        <v>378</v>
      </c>
      <c r="E84">
        <v>3600</v>
      </c>
      <c r="F84">
        <f t="shared" si="6"/>
        <v>0.105</v>
      </c>
      <c r="G84">
        <f t="shared" si="7"/>
        <v>7.4427976190490881</v>
      </c>
      <c r="H84">
        <f t="shared" si="8"/>
        <v>2.8910990122261507E-2</v>
      </c>
    </row>
    <row r="85" spans="1:8" x14ac:dyDescent="0.25">
      <c r="A85">
        <v>1100411</v>
      </c>
      <c r="B85" t="s">
        <v>36</v>
      </c>
      <c r="C85" s="2">
        <v>43922.634074074071</v>
      </c>
      <c r="D85">
        <v>6235</v>
      </c>
      <c r="E85">
        <v>6300</v>
      </c>
      <c r="F85">
        <f t="shared" si="6"/>
        <v>0.98968253968253972</v>
      </c>
      <c r="G85">
        <f t="shared" si="7"/>
        <v>6.6237037037041899</v>
      </c>
      <c r="H85">
        <f t="shared" si="8"/>
        <v>0.31405993325851528</v>
      </c>
    </row>
    <row r="86" spans="1:8" x14ac:dyDescent="0.25">
      <c r="A86">
        <v>1100411</v>
      </c>
      <c r="B86" t="s">
        <v>36</v>
      </c>
      <c r="C86" s="2">
        <v>43922.634074074071</v>
      </c>
      <c r="D86">
        <v>1507</v>
      </c>
      <c r="E86">
        <v>4200</v>
      </c>
      <c r="F86">
        <f t="shared" si="6"/>
        <v>0.3588095238095238</v>
      </c>
      <c r="G86">
        <f t="shared" si="7"/>
        <v>6.6237037037041899</v>
      </c>
      <c r="H86">
        <f t="shared" si="8"/>
        <v>0.11386246658073355</v>
      </c>
    </row>
    <row r="87" spans="1:8" x14ac:dyDescent="0.25">
      <c r="A87">
        <v>1100411</v>
      </c>
      <c r="B87" t="s">
        <v>36</v>
      </c>
      <c r="C87" s="2">
        <v>43935.616261574083</v>
      </c>
      <c r="D87">
        <v>3879</v>
      </c>
      <c r="E87">
        <v>6600</v>
      </c>
      <c r="F87">
        <f t="shared" si="6"/>
        <v>0.58772727272727276</v>
      </c>
      <c r="G87">
        <f t="shared" si="7"/>
        <v>4.7691054894166882</v>
      </c>
      <c r="H87">
        <f t="shared" si="8"/>
        <v>0.25719640439449032</v>
      </c>
    </row>
    <row r="88" spans="1:8" x14ac:dyDescent="0.25">
      <c r="A88">
        <v>1100411</v>
      </c>
      <c r="B88" t="s">
        <v>36</v>
      </c>
      <c r="C88" s="2">
        <v>43936.648854166669</v>
      </c>
      <c r="D88">
        <v>3164</v>
      </c>
      <c r="E88">
        <v>6600</v>
      </c>
      <c r="F88">
        <f t="shared" si="6"/>
        <v>0.47939393939393937</v>
      </c>
      <c r="G88">
        <f t="shared" si="7"/>
        <v>4.6215922619043601</v>
      </c>
      <c r="H88">
        <f t="shared" si="8"/>
        <v>0.21522021685013207</v>
      </c>
    </row>
    <row r="89" spans="1:8" x14ac:dyDescent="0.25">
      <c r="A89">
        <v>1100411</v>
      </c>
      <c r="B89" t="s">
        <v>36</v>
      </c>
      <c r="C89" s="2">
        <v>43936.67287037037</v>
      </c>
      <c r="D89">
        <v>108</v>
      </c>
      <c r="E89">
        <v>3900</v>
      </c>
      <c r="F89">
        <f t="shared" si="6"/>
        <v>2.7692307692307693E-2</v>
      </c>
      <c r="G89">
        <f t="shared" si="7"/>
        <v>4.6181613756613968</v>
      </c>
      <c r="H89">
        <f t="shared" si="8"/>
        <v>1.243964176363559E-2</v>
      </c>
    </row>
    <row r="90" spans="1:8" x14ac:dyDescent="0.25">
      <c r="A90">
        <v>1100411</v>
      </c>
      <c r="B90" t="s">
        <v>36</v>
      </c>
      <c r="C90" s="2">
        <v>43937.634699074071</v>
      </c>
      <c r="D90">
        <v>4469</v>
      </c>
      <c r="E90">
        <v>6300</v>
      </c>
      <c r="F90">
        <f t="shared" si="6"/>
        <v>0.70936507936507931</v>
      </c>
      <c r="G90">
        <f t="shared" si="7"/>
        <v>4.480757275132679</v>
      </c>
      <c r="H90">
        <f t="shared" si="8"/>
        <v>0.32633166697047628</v>
      </c>
    </row>
    <row r="91" spans="1:8" x14ac:dyDescent="0.25">
      <c r="A91">
        <v>1100411</v>
      </c>
      <c r="B91" t="s">
        <v>36</v>
      </c>
      <c r="C91" s="2">
        <v>43937.67428240741</v>
      </c>
      <c r="D91">
        <v>1242</v>
      </c>
      <c r="E91">
        <v>3900</v>
      </c>
      <c r="F91">
        <f t="shared" si="6"/>
        <v>0.31846153846153846</v>
      </c>
      <c r="G91">
        <f t="shared" si="7"/>
        <v>4.4751025132271547</v>
      </c>
      <c r="H91">
        <f t="shared" si="8"/>
        <v>0.14664658917980913</v>
      </c>
    </row>
    <row r="92" spans="1:8" x14ac:dyDescent="0.25">
      <c r="A92">
        <v>1100411</v>
      </c>
      <c r="B92" t="s">
        <v>36</v>
      </c>
      <c r="C92" s="2">
        <v>43938.639907407407</v>
      </c>
      <c r="D92">
        <v>4412</v>
      </c>
      <c r="E92">
        <v>6300</v>
      </c>
      <c r="F92">
        <f t="shared" si="6"/>
        <v>0.70031746031746034</v>
      </c>
      <c r="G92">
        <f t="shared" si="7"/>
        <v>4.3371560846561419</v>
      </c>
      <c r="H92">
        <f t="shared" si="8"/>
        <v>0.33028696551176684</v>
      </c>
    </row>
    <row r="93" spans="1:8" x14ac:dyDescent="0.25">
      <c r="A93">
        <v>1100411</v>
      </c>
      <c r="B93" t="s">
        <v>36</v>
      </c>
      <c r="C93" s="2">
        <v>43938.639907407407</v>
      </c>
      <c r="D93">
        <v>1032</v>
      </c>
      <c r="E93">
        <v>3900</v>
      </c>
      <c r="F93">
        <f t="shared" si="6"/>
        <v>0.26461538461538464</v>
      </c>
      <c r="G93">
        <f t="shared" si="7"/>
        <v>4.3371560846561419</v>
      </c>
      <c r="H93">
        <f t="shared" si="8"/>
        <v>0.12479913377102676</v>
      </c>
    </row>
    <row r="94" spans="1:8" x14ac:dyDescent="0.25">
      <c r="A94">
        <v>1100411</v>
      </c>
      <c r="B94" t="s">
        <v>36</v>
      </c>
      <c r="C94" s="2">
        <v>43942.613252314812</v>
      </c>
      <c r="D94">
        <v>5554</v>
      </c>
      <c r="E94">
        <v>6600</v>
      </c>
      <c r="F94">
        <f t="shared" si="6"/>
        <v>0.84151515151515155</v>
      </c>
      <c r="G94">
        <f t="shared" si="7"/>
        <v>3.7695353835983303</v>
      </c>
      <c r="H94">
        <f t="shared" si="8"/>
        <v>0.43790119951329692</v>
      </c>
    </row>
    <row r="95" spans="1:8" x14ac:dyDescent="0.25">
      <c r="A95">
        <v>1100411</v>
      </c>
      <c r="B95" t="s">
        <v>36</v>
      </c>
      <c r="C95" s="2">
        <v>43942.632719907408</v>
      </c>
      <c r="D95">
        <v>105</v>
      </c>
      <c r="E95">
        <v>3900</v>
      </c>
      <c r="F95">
        <f t="shared" si="6"/>
        <v>2.6923076923076925E-2</v>
      </c>
      <c r="G95">
        <f t="shared" si="7"/>
        <v>3.7667542989417728</v>
      </c>
      <c r="H95">
        <f t="shared" si="8"/>
        <v>1.4016777661272581E-2</v>
      </c>
    </row>
    <row r="96" spans="1:8" x14ac:dyDescent="0.25">
      <c r="A96">
        <v>1100411</v>
      </c>
      <c r="B96" t="s">
        <v>36</v>
      </c>
      <c r="C96" s="2">
        <v>43943.680127314823</v>
      </c>
      <c r="D96">
        <v>937</v>
      </c>
      <c r="E96">
        <v>6600</v>
      </c>
      <c r="F96">
        <f t="shared" si="6"/>
        <v>0.14196969696969697</v>
      </c>
      <c r="G96">
        <f t="shared" si="7"/>
        <v>3.6171246693109942</v>
      </c>
      <c r="H96">
        <f t="shared" si="8"/>
        <v>7.5854246645204182E-2</v>
      </c>
    </row>
    <row r="97" spans="1:8" x14ac:dyDescent="0.25">
      <c r="A97">
        <v>1100411</v>
      </c>
      <c r="B97" t="s">
        <v>36</v>
      </c>
      <c r="C97" s="2">
        <v>43943.680127314823</v>
      </c>
      <c r="D97">
        <v>4080</v>
      </c>
      <c r="E97">
        <v>3900</v>
      </c>
      <c r="F97">
        <f t="shared" si="6"/>
        <v>1</v>
      </c>
      <c r="G97">
        <f t="shared" si="7"/>
        <v>3.6171246693109942</v>
      </c>
      <c r="H97">
        <f t="shared" si="8"/>
        <v>0.53429885577198255</v>
      </c>
    </row>
    <row r="98" spans="1:8" x14ac:dyDescent="0.25">
      <c r="A98">
        <v>1100411</v>
      </c>
      <c r="B98" t="s">
        <v>36</v>
      </c>
      <c r="C98" s="2">
        <v>43944.664409722223</v>
      </c>
      <c r="D98">
        <v>2295</v>
      </c>
      <c r="E98">
        <v>6600</v>
      </c>
      <c r="F98">
        <f t="shared" si="6"/>
        <v>0.34772727272727272</v>
      </c>
      <c r="G98">
        <f t="shared" si="7"/>
        <v>3.476512896825235</v>
      </c>
      <c r="H98">
        <f t="shared" si="8"/>
        <v>0.19037288382101691</v>
      </c>
    </row>
    <row r="99" spans="1:8" x14ac:dyDescent="0.25">
      <c r="A99">
        <v>1100411</v>
      </c>
      <c r="B99" t="s">
        <v>36</v>
      </c>
      <c r="C99" s="2">
        <v>43944.664409722223</v>
      </c>
      <c r="D99">
        <v>3404</v>
      </c>
      <c r="E99">
        <v>3900</v>
      </c>
      <c r="F99">
        <f t="shared" si="6"/>
        <v>0.87282051282051287</v>
      </c>
      <c r="G99">
        <f t="shared" si="7"/>
        <v>3.476512896825235</v>
      </c>
      <c r="H99">
        <f t="shared" si="8"/>
        <v>0.47784965723439976</v>
      </c>
    </row>
    <row r="100" spans="1:8" x14ac:dyDescent="0.25">
      <c r="A100">
        <v>1100411</v>
      </c>
      <c r="B100" t="s">
        <v>36</v>
      </c>
      <c r="C100" s="2">
        <v>43945.662222222221</v>
      </c>
      <c r="D100">
        <v>2484</v>
      </c>
      <c r="E100">
        <v>6600</v>
      </c>
      <c r="F100">
        <f t="shared" si="6"/>
        <v>0.37636363636363634</v>
      </c>
      <c r="G100">
        <f t="shared" si="7"/>
        <v>3.3339682539683833</v>
      </c>
      <c r="H100">
        <f t="shared" si="8"/>
        <v>0.21120371047027731</v>
      </c>
    </row>
    <row r="101" spans="1:8" x14ac:dyDescent="0.25">
      <c r="A101">
        <v>1100411</v>
      </c>
      <c r="B101" t="s">
        <v>36</v>
      </c>
      <c r="C101" s="2">
        <v>43945.662222222221</v>
      </c>
      <c r="D101">
        <v>3225</v>
      </c>
      <c r="E101">
        <v>3900</v>
      </c>
      <c r="F101">
        <f t="shared" si="6"/>
        <v>0.82692307692307687</v>
      </c>
      <c r="G101">
        <f t="shared" si="7"/>
        <v>3.3339682539683833</v>
      </c>
      <c r="H101">
        <f t="shared" si="8"/>
        <v>0.46404382688796525</v>
      </c>
    </row>
    <row r="102" spans="1:8" x14ac:dyDescent="0.25">
      <c r="A102">
        <v>1100411</v>
      </c>
      <c r="B102" t="s">
        <v>36</v>
      </c>
      <c r="C102" s="2">
        <v>43949.694212962961</v>
      </c>
      <c r="D102">
        <v>2713</v>
      </c>
      <c r="E102">
        <v>3900</v>
      </c>
      <c r="F102">
        <f t="shared" si="6"/>
        <v>0.69564102564102559</v>
      </c>
      <c r="G102">
        <f t="shared" si="7"/>
        <v>2.7579695767199155</v>
      </c>
      <c r="H102">
        <f t="shared" si="8"/>
        <v>0.43134750894255214</v>
      </c>
    </row>
    <row r="103" spans="1:8" x14ac:dyDescent="0.25">
      <c r="A103">
        <v>1100411</v>
      </c>
      <c r="B103" t="s">
        <v>36</v>
      </c>
      <c r="C103" s="2">
        <v>43950.719247685192</v>
      </c>
      <c r="D103">
        <v>63</v>
      </c>
      <c r="E103">
        <v>3900</v>
      </c>
      <c r="F103">
        <f t="shared" si="6"/>
        <v>1.6153846153846154E-2</v>
      </c>
      <c r="G103">
        <f t="shared" si="7"/>
        <v>2.6115360449725165</v>
      </c>
      <c r="H103">
        <f t="shared" si="8"/>
        <v>1.0273969482001752E-2</v>
      </c>
    </row>
    <row r="104" spans="1:8" x14ac:dyDescent="0.25">
      <c r="A104">
        <v>1100411</v>
      </c>
      <c r="B104" t="s">
        <v>36</v>
      </c>
      <c r="C104" s="2">
        <v>43951.583981481483</v>
      </c>
      <c r="D104">
        <v>105</v>
      </c>
      <c r="E104">
        <v>9900</v>
      </c>
      <c r="F104">
        <f t="shared" si="6"/>
        <v>1.0606060606060607E-2</v>
      </c>
      <c r="G104">
        <f t="shared" si="7"/>
        <v>2.4880026455024824</v>
      </c>
      <c r="H104">
        <f t="shared" si="8"/>
        <v>6.8914918689009898E-3</v>
      </c>
    </row>
    <row r="105" spans="1:8" x14ac:dyDescent="0.25">
      <c r="A105">
        <v>1100411</v>
      </c>
      <c r="B105" t="s">
        <v>36</v>
      </c>
      <c r="C105" s="2">
        <v>43956.705069444448</v>
      </c>
      <c r="D105">
        <v>882</v>
      </c>
      <c r="E105">
        <v>3900</v>
      </c>
      <c r="F105">
        <f t="shared" si="6"/>
        <v>0.22615384615384615</v>
      </c>
      <c r="G105">
        <f t="shared" si="7"/>
        <v>1.7564186507931612</v>
      </c>
      <c r="H105">
        <f t="shared" si="8"/>
        <v>0.16680931671180543</v>
      </c>
    </row>
    <row r="106" spans="1:8" x14ac:dyDescent="0.25">
      <c r="A106">
        <v>1100411</v>
      </c>
      <c r="B106" t="s">
        <v>36</v>
      </c>
      <c r="C106" s="2">
        <v>43957.611493055563</v>
      </c>
      <c r="D106">
        <v>960</v>
      </c>
      <c r="E106">
        <v>9900</v>
      </c>
      <c r="F106">
        <f t="shared" si="6"/>
        <v>9.696969696969697E-2</v>
      </c>
      <c r="G106">
        <f t="shared" si="7"/>
        <v>1.6269295634909733</v>
      </c>
      <c r="H106">
        <f t="shared" si="8"/>
        <v>7.3147146465333671E-2</v>
      </c>
    </row>
    <row r="107" spans="1:8" x14ac:dyDescent="0.25">
      <c r="A107">
        <v>1100411</v>
      </c>
      <c r="B107" t="s">
        <v>36</v>
      </c>
      <c r="C107" s="2">
        <v>43957.694641203707</v>
      </c>
      <c r="D107">
        <v>305</v>
      </c>
      <c r="E107">
        <v>3900</v>
      </c>
      <c r="F107">
        <f t="shared" si="6"/>
        <v>7.8205128205128205E-2</v>
      </c>
      <c r="G107">
        <f t="shared" si="7"/>
        <v>1.6150512566133071</v>
      </c>
      <c r="H107">
        <f t="shared" si="8"/>
        <v>5.9114022713661118E-2</v>
      </c>
    </row>
    <row r="108" spans="1:8" x14ac:dyDescent="0.25">
      <c r="A108">
        <v>1100411</v>
      </c>
      <c r="B108" t="s">
        <v>36</v>
      </c>
      <c r="C108" s="2">
        <v>43958.693611111114</v>
      </c>
      <c r="D108">
        <v>3372</v>
      </c>
      <c r="E108">
        <v>3900</v>
      </c>
      <c r="F108">
        <f t="shared" si="6"/>
        <v>0.86461538461538456</v>
      </c>
      <c r="G108">
        <f t="shared" si="7"/>
        <v>1.4723412698409188</v>
      </c>
      <c r="H108">
        <f t="shared" si="8"/>
        <v>0.66991274059343742</v>
      </c>
    </row>
    <row r="109" spans="1:8" x14ac:dyDescent="0.25">
      <c r="A109">
        <v>1100411</v>
      </c>
      <c r="B109" t="s">
        <v>36</v>
      </c>
      <c r="C109" s="2">
        <v>43963.583275462966</v>
      </c>
      <c r="D109">
        <v>2663</v>
      </c>
      <c r="E109">
        <v>9900</v>
      </c>
      <c r="F109">
        <f t="shared" si="6"/>
        <v>0.268989898989899</v>
      </c>
      <c r="G109">
        <f t="shared" si="7"/>
        <v>0.77381779100479819</v>
      </c>
      <c r="H109">
        <f t="shared" si="8"/>
        <v>0.23523415531276745</v>
      </c>
    </row>
    <row r="110" spans="1:8" x14ac:dyDescent="0.25">
      <c r="A110">
        <v>1100411</v>
      </c>
      <c r="B110" t="s">
        <v>36</v>
      </c>
      <c r="C110" s="2">
        <v>43963.688969907409</v>
      </c>
      <c r="D110">
        <v>102</v>
      </c>
      <c r="E110">
        <v>3900</v>
      </c>
      <c r="F110">
        <f t="shared" si="6"/>
        <v>2.6153846153846153E-2</v>
      </c>
      <c r="G110">
        <f t="shared" si="7"/>
        <v>0.75871858465585063</v>
      </c>
      <c r="H110">
        <f t="shared" si="8"/>
        <v>2.2931702646224007E-2</v>
      </c>
    </row>
    <row r="111" spans="1:8" x14ac:dyDescent="0.25">
      <c r="A111">
        <v>1100411</v>
      </c>
      <c r="B111" t="s">
        <v>36</v>
      </c>
      <c r="C111" s="2">
        <v>43964.659386574072</v>
      </c>
      <c r="D111">
        <v>2729</v>
      </c>
      <c r="E111">
        <v>9900</v>
      </c>
      <c r="F111">
        <f t="shared" si="6"/>
        <v>0.27565656565656566</v>
      </c>
      <c r="G111">
        <f t="shared" si="7"/>
        <v>0.62008763227536945</v>
      </c>
      <c r="H111">
        <f t="shared" si="8"/>
        <v>0.2475723258720694</v>
      </c>
    </row>
    <row r="112" spans="1:8" x14ac:dyDescent="0.25">
      <c r="A112">
        <v>1100411</v>
      </c>
      <c r="B112" t="s">
        <v>36</v>
      </c>
      <c r="C112" s="2">
        <v>43964.659386574072</v>
      </c>
      <c r="D112">
        <v>3831</v>
      </c>
      <c r="E112">
        <v>3900</v>
      </c>
      <c r="F112">
        <f t="shared" si="6"/>
        <v>0.98230769230769233</v>
      </c>
      <c r="G112">
        <f t="shared" si="7"/>
        <v>0.62008763227536945</v>
      </c>
      <c r="H112">
        <f t="shared" si="8"/>
        <v>0.8822289413908907</v>
      </c>
    </row>
    <row r="113" spans="1:8" x14ac:dyDescent="0.25">
      <c r="A113">
        <v>1100411</v>
      </c>
      <c r="B113" t="s">
        <v>36</v>
      </c>
      <c r="C113" s="2">
        <v>43966.58320601852</v>
      </c>
      <c r="D113">
        <v>557</v>
      </c>
      <c r="E113">
        <v>9900</v>
      </c>
      <c r="F113">
        <f t="shared" si="6"/>
        <v>5.6262626262626264E-2</v>
      </c>
      <c r="G113">
        <f t="shared" si="7"/>
        <v>0.34525628306853051</v>
      </c>
      <c r="H113">
        <f t="shared" si="8"/>
        <v>5.2995241578927557E-2</v>
      </c>
    </row>
    <row r="114" spans="1:8" x14ac:dyDescent="0.25">
      <c r="A114">
        <v>1100411</v>
      </c>
      <c r="B114" t="s">
        <v>36</v>
      </c>
      <c r="C114" s="2">
        <v>43966.726087962961</v>
      </c>
      <c r="D114">
        <v>588</v>
      </c>
      <c r="E114">
        <v>3900</v>
      </c>
      <c r="F114">
        <f t="shared" si="6"/>
        <v>0.15076923076923077</v>
      </c>
      <c r="G114">
        <f t="shared" si="7"/>
        <v>0.32484457671983236</v>
      </c>
      <c r="H114">
        <f t="shared" si="8"/>
        <v>0.14251669049699256</v>
      </c>
    </row>
    <row r="115" spans="1:8" x14ac:dyDescent="0.25">
      <c r="A115">
        <v>2400467</v>
      </c>
      <c r="B115" t="s">
        <v>30</v>
      </c>
      <c r="C115" s="2">
        <v>43901.737268518518</v>
      </c>
      <c r="D115">
        <v>1100</v>
      </c>
      <c r="E115">
        <v>1800</v>
      </c>
      <c r="F115">
        <f t="shared" si="6"/>
        <v>0.61111111111111116</v>
      </c>
      <c r="G115">
        <f t="shared" si="7"/>
        <v>9.6089616402116782</v>
      </c>
      <c r="H115">
        <f t="shared" si="8"/>
        <v>0.11560423917489261</v>
      </c>
    </row>
    <row r="116" spans="1:8" x14ac:dyDescent="0.25">
      <c r="A116">
        <v>2400467</v>
      </c>
      <c r="B116" t="s">
        <v>30</v>
      </c>
      <c r="C116" s="2">
        <v>43907.730983796297</v>
      </c>
      <c r="D116">
        <v>1643</v>
      </c>
      <c r="E116">
        <v>1800</v>
      </c>
      <c r="F116">
        <f t="shared" si="6"/>
        <v>0.9127777777777778</v>
      </c>
      <c r="G116">
        <f t="shared" si="7"/>
        <v>8.7527166005290518</v>
      </c>
      <c r="H116">
        <f t="shared" si="8"/>
        <v>0.20028918449043562</v>
      </c>
    </row>
    <row r="117" spans="1:8" x14ac:dyDescent="0.25">
      <c r="A117">
        <v>2400467</v>
      </c>
      <c r="B117" t="s">
        <v>30</v>
      </c>
      <c r="C117" s="2">
        <v>43908.247187499997</v>
      </c>
      <c r="D117">
        <v>174</v>
      </c>
      <c r="E117">
        <v>1800</v>
      </c>
      <c r="F117">
        <f t="shared" si="6"/>
        <v>9.6666666666666665E-2</v>
      </c>
      <c r="G117">
        <f t="shared" si="7"/>
        <v>8.6789732142860885</v>
      </c>
      <c r="H117">
        <f t="shared" si="8"/>
        <v>2.1484187101958128E-2</v>
      </c>
    </row>
    <row r="118" spans="1:8" x14ac:dyDescent="0.25">
      <c r="A118">
        <v>2400467</v>
      </c>
      <c r="B118" t="s">
        <v>30</v>
      </c>
      <c r="C118" s="2">
        <v>43908.733194444438</v>
      </c>
      <c r="D118">
        <v>1452</v>
      </c>
      <c r="E118">
        <v>1800</v>
      </c>
      <c r="F118">
        <f t="shared" si="6"/>
        <v>0.80666666666666664</v>
      </c>
      <c r="G118">
        <f t="shared" si="7"/>
        <v>8.6095436507946168</v>
      </c>
      <c r="H118">
        <f t="shared" si="8"/>
        <v>0.18145184534853961</v>
      </c>
    </row>
    <row r="119" spans="1:8" x14ac:dyDescent="0.25">
      <c r="A119">
        <v>2400467</v>
      </c>
      <c r="B119" t="s">
        <v>30</v>
      </c>
      <c r="C119" s="2">
        <v>43909.729444444441</v>
      </c>
      <c r="D119">
        <v>1768</v>
      </c>
      <c r="E119">
        <v>1800</v>
      </c>
      <c r="F119">
        <f t="shared" si="6"/>
        <v>0.98222222222222222</v>
      </c>
      <c r="G119">
        <f t="shared" si="7"/>
        <v>8.467222222222647</v>
      </c>
      <c r="H119">
        <f t="shared" si="8"/>
        <v>0.22645806304665778</v>
      </c>
    </row>
    <row r="120" spans="1:8" x14ac:dyDescent="0.25">
      <c r="A120">
        <v>2400467</v>
      </c>
      <c r="B120" t="s">
        <v>30</v>
      </c>
      <c r="C120" s="2">
        <v>43910.729722222219</v>
      </c>
      <c r="D120">
        <v>1752</v>
      </c>
      <c r="E120">
        <v>1800</v>
      </c>
      <c r="F120">
        <f t="shared" si="6"/>
        <v>0.97333333333333338</v>
      </c>
      <c r="G120">
        <f t="shared" si="7"/>
        <v>8.3243253968259001</v>
      </c>
      <c r="H120">
        <f t="shared" si="8"/>
        <v>0.23003487707321627</v>
      </c>
    </row>
    <row r="121" spans="1:8" x14ac:dyDescent="0.25">
      <c r="A121">
        <v>2400467</v>
      </c>
      <c r="B121" t="s">
        <v>30</v>
      </c>
      <c r="C121" s="2">
        <v>43915.733275462961</v>
      </c>
      <c r="D121">
        <v>1445</v>
      </c>
      <c r="E121">
        <v>1800</v>
      </c>
      <c r="F121">
        <f t="shared" si="6"/>
        <v>0.80277777777777781</v>
      </c>
      <c r="G121">
        <f t="shared" si="7"/>
        <v>7.6095320767199155</v>
      </c>
      <c r="H121">
        <f t="shared" si="8"/>
        <v>0.21474397606573839</v>
      </c>
    </row>
    <row r="122" spans="1:8" x14ac:dyDescent="0.25">
      <c r="A122">
        <v>2400467</v>
      </c>
      <c r="B122" t="s">
        <v>30</v>
      </c>
      <c r="C122" s="2">
        <v>43916.207800925928</v>
      </c>
      <c r="D122">
        <v>2100</v>
      </c>
      <c r="E122">
        <v>2100</v>
      </c>
      <c r="F122">
        <f t="shared" si="6"/>
        <v>1</v>
      </c>
      <c r="G122">
        <f t="shared" si="7"/>
        <v>7.541742724867488</v>
      </c>
      <c r="H122">
        <f t="shared" si="8"/>
        <v>0.27066201149066282</v>
      </c>
    </row>
    <row r="123" spans="1:8" x14ac:dyDescent="0.25">
      <c r="A123">
        <v>2400467</v>
      </c>
      <c r="B123" t="s">
        <v>30</v>
      </c>
      <c r="C123" s="2">
        <v>43918.223460648151</v>
      </c>
      <c r="D123">
        <v>1693</v>
      </c>
      <c r="E123">
        <v>2100</v>
      </c>
      <c r="F123">
        <f t="shared" si="6"/>
        <v>0.80619047619047624</v>
      </c>
      <c r="G123">
        <f t="shared" si="7"/>
        <v>7.2537913359784785</v>
      </c>
      <c r="H123">
        <f t="shared" si="8"/>
        <v>0.22936939537499107</v>
      </c>
    </row>
    <row r="124" spans="1:8" x14ac:dyDescent="0.25">
      <c r="A124">
        <v>2400467</v>
      </c>
      <c r="B124" t="s">
        <v>30</v>
      </c>
      <c r="C124" s="2">
        <v>43922.72923611111</v>
      </c>
      <c r="D124">
        <v>1794</v>
      </c>
      <c r="E124">
        <v>1800</v>
      </c>
      <c r="F124">
        <f t="shared" si="6"/>
        <v>0.9966666666666667</v>
      </c>
      <c r="G124">
        <f t="shared" si="7"/>
        <v>6.6101091269842334</v>
      </c>
      <c r="H124">
        <f t="shared" si="8"/>
        <v>0.31702218370665203</v>
      </c>
    </row>
    <row r="125" spans="1:8" x14ac:dyDescent="0.25">
      <c r="A125">
        <v>2400467</v>
      </c>
      <c r="B125" t="s">
        <v>30</v>
      </c>
      <c r="C125" s="2">
        <v>43928.7346412037</v>
      </c>
      <c r="D125">
        <v>332</v>
      </c>
      <c r="E125">
        <v>1800</v>
      </c>
      <c r="F125">
        <f t="shared" si="6"/>
        <v>0.18444444444444444</v>
      </c>
      <c r="G125">
        <f t="shared" si="7"/>
        <v>5.7521941137570787</v>
      </c>
      <c r="H125">
        <f t="shared" si="8"/>
        <v>6.8072207788126796E-2</v>
      </c>
    </row>
    <row r="126" spans="1:8" x14ac:dyDescent="0.25">
      <c r="A126">
        <v>2400467</v>
      </c>
      <c r="B126" t="s">
        <v>30</v>
      </c>
      <c r="C126" s="2">
        <v>43929.73159722222</v>
      </c>
      <c r="D126">
        <v>847</v>
      </c>
      <c r="E126">
        <v>1800</v>
      </c>
      <c r="F126">
        <f t="shared" si="6"/>
        <v>0.47055555555555556</v>
      </c>
      <c r="G126">
        <f t="shared" si="7"/>
        <v>5.6097718253970799</v>
      </c>
      <c r="H126">
        <f t="shared" si="8"/>
        <v>0.17800553559561305</v>
      </c>
    </row>
    <row r="127" spans="1:8" x14ac:dyDescent="0.25">
      <c r="A127">
        <v>2400467</v>
      </c>
      <c r="B127" t="s">
        <v>30</v>
      </c>
      <c r="C127" s="2">
        <v>43942.733391203707</v>
      </c>
      <c r="D127">
        <v>1435</v>
      </c>
      <c r="E127">
        <v>1800</v>
      </c>
      <c r="F127">
        <f t="shared" si="6"/>
        <v>0.79722222222222228</v>
      </c>
      <c r="G127">
        <f t="shared" si="7"/>
        <v>3.7523726851847772</v>
      </c>
      <c r="H127">
        <f t="shared" si="8"/>
        <v>0.41608802086823315</v>
      </c>
    </row>
    <row r="128" spans="1:8" x14ac:dyDescent="0.25">
      <c r="A128">
        <v>2400467</v>
      </c>
      <c r="B128" t="s">
        <v>30</v>
      </c>
      <c r="C128" s="2">
        <v>43943.733344907407</v>
      </c>
      <c r="D128">
        <v>1439</v>
      </c>
      <c r="E128">
        <v>1800</v>
      </c>
      <c r="F128">
        <f t="shared" si="6"/>
        <v>0.7994444444444444</v>
      </c>
      <c r="G128">
        <f t="shared" si="7"/>
        <v>3.6095221560847546</v>
      </c>
      <c r="H128">
        <f t="shared" si="8"/>
        <v>0.42770534642784397</v>
      </c>
    </row>
    <row r="129" spans="1:8" x14ac:dyDescent="0.25">
      <c r="A129">
        <v>2400467</v>
      </c>
      <c r="B129" t="s">
        <v>30</v>
      </c>
      <c r="C129" s="2">
        <v>43945.742592592593</v>
      </c>
      <c r="D129">
        <v>371</v>
      </c>
      <c r="E129">
        <v>1800</v>
      </c>
      <c r="F129">
        <f t="shared" si="6"/>
        <v>0.20611111111111111</v>
      </c>
      <c r="G129">
        <f t="shared" si="7"/>
        <v>3.3224867724867573</v>
      </c>
      <c r="H129">
        <f t="shared" si="8"/>
        <v>0.11589357499043275</v>
      </c>
    </row>
    <row r="130" spans="1:8" x14ac:dyDescent="0.25">
      <c r="A130">
        <v>2400467</v>
      </c>
      <c r="B130" t="s">
        <v>30</v>
      </c>
      <c r="C130" s="2">
        <v>43948.730324074073</v>
      </c>
      <c r="D130">
        <v>540</v>
      </c>
      <c r="E130">
        <v>1800</v>
      </c>
      <c r="F130">
        <f t="shared" ref="F130:F193" si="9">MIN(D130/E130,1)</f>
        <v>0.3</v>
      </c>
      <c r="G130">
        <f t="shared" ref="G130:G193" si="10">(DATE(2020,5,18)-C130)/7</f>
        <v>2.8956679894181434</v>
      </c>
      <c r="H130">
        <f t="shared" ref="H130:H193" si="11">F130*0.5^(G130/4)</f>
        <v>0.18163541233117927</v>
      </c>
    </row>
    <row r="131" spans="1:8" x14ac:dyDescent="0.25">
      <c r="A131">
        <v>2400467</v>
      </c>
      <c r="B131" t="s">
        <v>30</v>
      </c>
      <c r="C131" s="2">
        <v>43949.729745370372</v>
      </c>
      <c r="D131">
        <v>1630</v>
      </c>
      <c r="E131">
        <v>1800</v>
      </c>
      <c r="F131">
        <f t="shared" si="9"/>
        <v>0.90555555555555556</v>
      </c>
      <c r="G131">
        <f t="shared" si="10"/>
        <v>2.752893518518249</v>
      </c>
      <c r="H131">
        <f t="shared" si="11"/>
        <v>0.56200375631901667</v>
      </c>
    </row>
    <row r="132" spans="1:8" x14ac:dyDescent="0.25">
      <c r="A132">
        <v>2400467</v>
      </c>
      <c r="B132" t="s">
        <v>30</v>
      </c>
      <c r="C132" s="2">
        <v>43949.928333333337</v>
      </c>
      <c r="D132">
        <v>1692</v>
      </c>
      <c r="E132">
        <v>2700</v>
      </c>
      <c r="F132">
        <f t="shared" si="9"/>
        <v>0.62666666666666671</v>
      </c>
      <c r="G132">
        <f t="shared" si="10"/>
        <v>2.7245238095232969</v>
      </c>
      <c r="H132">
        <f t="shared" si="11"/>
        <v>0.39083706825952247</v>
      </c>
    </row>
    <row r="133" spans="1:8" x14ac:dyDescent="0.25">
      <c r="A133">
        <v>2400467</v>
      </c>
      <c r="B133" t="s">
        <v>30</v>
      </c>
      <c r="C133" s="2">
        <v>43950.719976851848</v>
      </c>
      <c r="D133">
        <v>330</v>
      </c>
      <c r="E133">
        <v>1800</v>
      </c>
      <c r="F133">
        <f t="shared" si="9"/>
        <v>0.18333333333333332</v>
      </c>
      <c r="G133">
        <f t="shared" si="10"/>
        <v>2.611431878307485</v>
      </c>
      <c r="H133">
        <f t="shared" si="11"/>
        <v>0.11660350443344741</v>
      </c>
    </row>
    <row r="134" spans="1:8" x14ac:dyDescent="0.25">
      <c r="A134">
        <v>2400467</v>
      </c>
      <c r="B134" t="s">
        <v>30</v>
      </c>
      <c r="C134" s="2">
        <v>43951.734027777777</v>
      </c>
      <c r="D134">
        <v>1380</v>
      </c>
      <c r="E134">
        <v>1800</v>
      </c>
      <c r="F134">
        <f t="shared" si="9"/>
        <v>0.76666666666666672</v>
      </c>
      <c r="G134">
        <f t="shared" si="10"/>
        <v>2.4665674603176222</v>
      </c>
      <c r="H134">
        <f t="shared" si="11"/>
        <v>0.50001022242045823</v>
      </c>
    </row>
    <row r="135" spans="1:8" x14ac:dyDescent="0.25">
      <c r="A135">
        <v>2400467</v>
      </c>
      <c r="B135" t="s">
        <v>30</v>
      </c>
      <c r="C135" s="2">
        <v>43955.729884259257</v>
      </c>
      <c r="D135">
        <v>1547</v>
      </c>
      <c r="E135">
        <v>1800</v>
      </c>
      <c r="F135">
        <f t="shared" si="9"/>
        <v>0.85944444444444446</v>
      </c>
      <c r="G135">
        <f t="shared" si="10"/>
        <v>1.8957308201061096</v>
      </c>
      <c r="H135">
        <f t="shared" si="11"/>
        <v>0.61879934946069781</v>
      </c>
    </row>
    <row r="136" spans="1:8" x14ac:dyDescent="0.25">
      <c r="A136">
        <v>2400467</v>
      </c>
      <c r="B136" t="s">
        <v>30</v>
      </c>
      <c r="C136" s="2">
        <v>43956.732442129629</v>
      </c>
      <c r="D136">
        <v>1378</v>
      </c>
      <c r="E136">
        <v>1800</v>
      </c>
      <c r="F136">
        <f t="shared" si="9"/>
        <v>0.76555555555555554</v>
      </c>
      <c r="G136">
        <f t="shared" si="10"/>
        <v>1.7525082671958703</v>
      </c>
      <c r="H136">
        <f t="shared" si="11"/>
        <v>0.56505057792587621</v>
      </c>
    </row>
    <row r="137" spans="1:8" x14ac:dyDescent="0.25">
      <c r="A137">
        <v>2400467</v>
      </c>
      <c r="B137" t="s">
        <v>30</v>
      </c>
      <c r="C137" s="2">
        <v>43956.920439814807</v>
      </c>
      <c r="D137">
        <v>1399</v>
      </c>
      <c r="E137">
        <v>2400</v>
      </c>
      <c r="F137">
        <f t="shared" si="9"/>
        <v>0.58291666666666664</v>
      </c>
      <c r="G137">
        <f t="shared" si="10"/>
        <v>1.7256514550276083</v>
      </c>
      <c r="H137">
        <f t="shared" si="11"/>
        <v>0.43225324300141638</v>
      </c>
    </row>
    <row r="138" spans="1:8" x14ac:dyDescent="0.25">
      <c r="A138">
        <v>2400467</v>
      </c>
      <c r="B138" t="s">
        <v>30</v>
      </c>
      <c r="C138" s="2">
        <v>43957.734884259262</v>
      </c>
      <c r="D138">
        <v>1306</v>
      </c>
      <c r="E138">
        <v>1800</v>
      </c>
      <c r="F138">
        <f t="shared" si="9"/>
        <v>0.72555555555555551</v>
      </c>
      <c r="G138">
        <f t="shared" si="10"/>
        <v>1.6093022486768729</v>
      </c>
      <c r="H138">
        <f t="shared" si="11"/>
        <v>0.54898263778717316</v>
      </c>
    </row>
    <row r="139" spans="1:8" x14ac:dyDescent="0.25">
      <c r="A139">
        <v>2400467</v>
      </c>
      <c r="B139" t="s">
        <v>30</v>
      </c>
      <c r="C139" s="2">
        <v>43963.729814814818</v>
      </c>
      <c r="D139">
        <v>2322</v>
      </c>
      <c r="E139">
        <v>2700</v>
      </c>
      <c r="F139">
        <f t="shared" si="9"/>
        <v>0.86</v>
      </c>
      <c r="G139">
        <f t="shared" si="10"/>
        <v>0.75288359788308823</v>
      </c>
      <c r="H139">
        <f t="shared" si="11"/>
        <v>0.75481116354627598</v>
      </c>
    </row>
    <row r="140" spans="1:8" x14ac:dyDescent="0.25">
      <c r="A140">
        <v>2400467</v>
      </c>
      <c r="B140" t="s">
        <v>30</v>
      </c>
      <c r="C140" s="2">
        <v>43964.735312500001</v>
      </c>
      <c r="D140">
        <v>2169</v>
      </c>
      <c r="E140">
        <v>2700</v>
      </c>
      <c r="F140">
        <f t="shared" si="9"/>
        <v>0.80333333333333334</v>
      </c>
      <c r="G140">
        <f t="shared" si="10"/>
        <v>0.60924107142844675</v>
      </c>
      <c r="H140">
        <f t="shared" si="11"/>
        <v>0.72284607733981432</v>
      </c>
    </row>
    <row r="141" spans="1:8" x14ac:dyDescent="0.25">
      <c r="A141">
        <v>2400467</v>
      </c>
      <c r="B141" t="s">
        <v>30</v>
      </c>
      <c r="C141" s="2">
        <v>43966.732893518521</v>
      </c>
      <c r="D141">
        <v>1221</v>
      </c>
      <c r="E141">
        <v>2700</v>
      </c>
      <c r="F141">
        <f t="shared" si="9"/>
        <v>0.45222222222222225</v>
      </c>
      <c r="G141">
        <f t="shared" si="10"/>
        <v>0.32387235449693563</v>
      </c>
      <c r="H141">
        <f t="shared" si="11"/>
        <v>0.42754130293187592</v>
      </c>
    </row>
    <row r="142" spans="1:8" x14ac:dyDescent="0.25">
      <c r="A142">
        <v>2400480</v>
      </c>
      <c r="B142" t="s">
        <v>59</v>
      </c>
      <c r="C142" s="2">
        <v>43899.365578703713</v>
      </c>
      <c r="D142">
        <v>1181</v>
      </c>
      <c r="E142">
        <v>5400</v>
      </c>
      <c r="F142">
        <f t="shared" si="9"/>
        <v>0.21870370370370371</v>
      </c>
      <c r="G142">
        <f t="shared" si="10"/>
        <v>9.9477744708981071</v>
      </c>
      <c r="H142">
        <f t="shared" si="11"/>
        <v>3.9013194358180812E-2</v>
      </c>
    </row>
    <row r="143" spans="1:8" x14ac:dyDescent="0.25">
      <c r="A143">
        <v>2400480</v>
      </c>
      <c r="B143" t="s">
        <v>59</v>
      </c>
      <c r="C143" s="2">
        <v>43899.828993055547</v>
      </c>
      <c r="D143">
        <v>1275</v>
      </c>
      <c r="E143">
        <v>2700</v>
      </c>
      <c r="F143">
        <f t="shared" si="9"/>
        <v>0.47222222222222221</v>
      </c>
      <c r="G143">
        <f t="shared" si="10"/>
        <v>9.8815724206360755</v>
      </c>
      <c r="H143">
        <f t="shared" si="11"/>
        <v>8.5208710869934701E-2</v>
      </c>
    </row>
    <row r="144" spans="1:8" x14ac:dyDescent="0.25">
      <c r="A144">
        <v>2400480</v>
      </c>
      <c r="B144" t="s">
        <v>59</v>
      </c>
      <c r="C144" s="2">
        <v>43900.712256944447</v>
      </c>
      <c r="D144">
        <v>261</v>
      </c>
      <c r="E144">
        <v>1500</v>
      </c>
      <c r="F144">
        <f t="shared" si="9"/>
        <v>0.17399999999999999</v>
      </c>
      <c r="G144">
        <f t="shared" si="10"/>
        <v>9.7553918650789591</v>
      </c>
      <c r="H144">
        <f t="shared" si="11"/>
        <v>3.2090970816079159E-2</v>
      </c>
    </row>
    <row r="145" spans="1:8" x14ac:dyDescent="0.25">
      <c r="A145">
        <v>2400480</v>
      </c>
      <c r="B145" t="s">
        <v>59</v>
      </c>
      <c r="C145" s="2">
        <v>43900.813657407409</v>
      </c>
      <c r="D145">
        <v>1540</v>
      </c>
      <c r="E145">
        <v>4500</v>
      </c>
      <c r="F145">
        <f t="shared" si="9"/>
        <v>0.34222222222222221</v>
      </c>
      <c r="G145">
        <f t="shared" si="10"/>
        <v>9.7409060846558919</v>
      </c>
      <c r="H145">
        <f t="shared" si="11"/>
        <v>6.3274974375566478E-2</v>
      </c>
    </row>
    <row r="146" spans="1:8" x14ac:dyDescent="0.25">
      <c r="A146">
        <v>2400480</v>
      </c>
      <c r="B146" t="s">
        <v>59</v>
      </c>
      <c r="C146" s="2">
        <v>43901.250821759262</v>
      </c>
      <c r="D146">
        <v>151</v>
      </c>
      <c r="E146">
        <v>4200</v>
      </c>
      <c r="F146">
        <f t="shared" si="9"/>
        <v>3.5952380952380951E-2</v>
      </c>
      <c r="G146">
        <f t="shared" si="10"/>
        <v>9.6784540343911178</v>
      </c>
      <c r="H146">
        <f t="shared" si="11"/>
        <v>6.7197236487819513E-3</v>
      </c>
    </row>
    <row r="147" spans="1:8" x14ac:dyDescent="0.25">
      <c r="A147">
        <v>2400480</v>
      </c>
      <c r="B147" t="s">
        <v>59</v>
      </c>
      <c r="C147" s="2">
        <v>43904.195625</v>
      </c>
      <c r="D147">
        <v>255</v>
      </c>
      <c r="E147">
        <v>2700</v>
      </c>
      <c r="F147">
        <f t="shared" si="9"/>
        <v>9.4444444444444442E-2</v>
      </c>
      <c r="G147">
        <f t="shared" si="10"/>
        <v>9.2577678571428148</v>
      </c>
      <c r="H147">
        <f t="shared" si="11"/>
        <v>1.8987157888433567E-2</v>
      </c>
    </row>
    <row r="148" spans="1:8" x14ac:dyDescent="0.25">
      <c r="A148">
        <v>2400480</v>
      </c>
      <c r="B148" t="s">
        <v>59</v>
      </c>
      <c r="C148" s="2">
        <v>43906.825902777768</v>
      </c>
      <c r="D148">
        <v>434</v>
      </c>
      <c r="E148">
        <v>4500</v>
      </c>
      <c r="F148">
        <f t="shared" si="9"/>
        <v>9.6444444444444444E-2</v>
      </c>
      <c r="G148">
        <f t="shared" si="10"/>
        <v>8.8820138888903397</v>
      </c>
      <c r="H148">
        <f t="shared" si="11"/>
        <v>2.069374366390702E-2</v>
      </c>
    </row>
    <row r="149" spans="1:8" x14ac:dyDescent="0.25">
      <c r="A149">
        <v>2400480</v>
      </c>
      <c r="B149" t="s">
        <v>59</v>
      </c>
      <c r="C149" s="2">
        <v>43907.853020833332</v>
      </c>
      <c r="D149">
        <v>931</v>
      </c>
      <c r="E149">
        <v>4500</v>
      </c>
      <c r="F149">
        <f t="shared" si="9"/>
        <v>0.2068888888888889</v>
      </c>
      <c r="G149">
        <f t="shared" si="10"/>
        <v>8.7352827380953908</v>
      </c>
      <c r="H149">
        <f t="shared" si="11"/>
        <v>4.5534611549621469E-2</v>
      </c>
    </row>
    <row r="150" spans="1:8" x14ac:dyDescent="0.25">
      <c r="A150">
        <v>2400480</v>
      </c>
      <c r="B150" t="s">
        <v>59</v>
      </c>
      <c r="C150" s="2">
        <v>43910.258113425924</v>
      </c>
      <c r="D150">
        <v>390</v>
      </c>
      <c r="E150">
        <v>4200</v>
      </c>
      <c r="F150">
        <f t="shared" si="9"/>
        <v>9.285714285714286E-2</v>
      </c>
      <c r="G150">
        <f t="shared" si="10"/>
        <v>8.3916980820109277</v>
      </c>
      <c r="H150">
        <f t="shared" si="11"/>
        <v>2.169087678351447E-2</v>
      </c>
    </row>
    <row r="151" spans="1:8" x14ac:dyDescent="0.25">
      <c r="A151">
        <v>2400480</v>
      </c>
      <c r="B151" t="s">
        <v>59</v>
      </c>
      <c r="C151" s="2">
        <v>43910.839606481481</v>
      </c>
      <c r="D151">
        <v>92</v>
      </c>
      <c r="E151">
        <v>2700</v>
      </c>
      <c r="F151">
        <f t="shared" si="9"/>
        <v>3.4074074074074076E-2</v>
      </c>
      <c r="G151">
        <f t="shared" si="10"/>
        <v>8.3086276455027726</v>
      </c>
      <c r="H151">
        <f t="shared" si="11"/>
        <v>8.0749069622381518E-3</v>
      </c>
    </row>
    <row r="152" spans="1:8" x14ac:dyDescent="0.25">
      <c r="A152">
        <v>2400480</v>
      </c>
      <c r="B152" t="s">
        <v>59</v>
      </c>
      <c r="C152" s="2">
        <v>43911.821759259263</v>
      </c>
      <c r="D152">
        <v>1394</v>
      </c>
      <c r="E152">
        <v>2700</v>
      </c>
      <c r="F152">
        <f t="shared" si="9"/>
        <v>0.51629629629629625</v>
      </c>
      <c r="G152">
        <f t="shared" si="10"/>
        <v>8.1683201058196051</v>
      </c>
      <c r="H152">
        <f t="shared" si="11"/>
        <v>0.12536366149908071</v>
      </c>
    </row>
    <row r="153" spans="1:8" x14ac:dyDescent="0.25">
      <c r="A153">
        <v>2400480</v>
      </c>
      <c r="B153" t="s">
        <v>59</v>
      </c>
      <c r="C153" s="2">
        <v>43913.862476851849</v>
      </c>
      <c r="D153">
        <v>182</v>
      </c>
      <c r="E153">
        <v>4500</v>
      </c>
      <c r="F153">
        <f t="shared" si="9"/>
        <v>4.0444444444444443E-2</v>
      </c>
      <c r="G153">
        <f t="shared" si="10"/>
        <v>7.8767890211643783</v>
      </c>
      <c r="H153">
        <f t="shared" si="11"/>
        <v>1.0329312888788878E-2</v>
      </c>
    </row>
    <row r="154" spans="1:8" x14ac:dyDescent="0.25">
      <c r="A154">
        <v>2400480</v>
      </c>
      <c r="B154" t="s">
        <v>59</v>
      </c>
      <c r="C154" s="2">
        <v>43914.834374999999</v>
      </c>
      <c r="D154">
        <v>313</v>
      </c>
      <c r="E154">
        <v>4500</v>
      </c>
      <c r="F154">
        <f t="shared" si="9"/>
        <v>6.9555555555555551E-2</v>
      </c>
      <c r="G154">
        <f t="shared" si="10"/>
        <v>7.7379464285716368</v>
      </c>
      <c r="H154">
        <f t="shared" si="11"/>
        <v>1.8196729064349007E-2</v>
      </c>
    </row>
    <row r="155" spans="1:8" x14ac:dyDescent="0.25">
      <c r="A155">
        <v>2400480</v>
      </c>
      <c r="B155" t="s">
        <v>59</v>
      </c>
      <c r="C155" s="2">
        <v>43915.336377314823</v>
      </c>
      <c r="D155">
        <v>337</v>
      </c>
      <c r="E155">
        <v>600</v>
      </c>
      <c r="F155">
        <f t="shared" si="9"/>
        <v>0.56166666666666665</v>
      </c>
      <c r="G155">
        <f t="shared" si="10"/>
        <v>7.666231812168137</v>
      </c>
      <c r="H155">
        <f t="shared" si="11"/>
        <v>0.14877748680333069</v>
      </c>
    </row>
    <row r="156" spans="1:8" x14ac:dyDescent="0.25">
      <c r="A156">
        <v>2400480</v>
      </c>
      <c r="B156" t="s">
        <v>59</v>
      </c>
      <c r="C156" s="2">
        <v>43915.336377314823</v>
      </c>
      <c r="D156">
        <v>600</v>
      </c>
      <c r="E156">
        <v>600</v>
      </c>
      <c r="F156">
        <f t="shared" si="9"/>
        <v>1</v>
      </c>
      <c r="G156">
        <f t="shared" si="10"/>
        <v>7.666231812168137</v>
      </c>
      <c r="H156">
        <f t="shared" si="11"/>
        <v>0.26488573318100422</v>
      </c>
    </row>
    <row r="157" spans="1:8" x14ac:dyDescent="0.25">
      <c r="A157">
        <v>2400480</v>
      </c>
      <c r="B157" t="s">
        <v>59</v>
      </c>
      <c r="C157" s="2">
        <v>43916.837013888893</v>
      </c>
      <c r="D157">
        <v>100</v>
      </c>
      <c r="E157">
        <v>3900</v>
      </c>
      <c r="F157">
        <f t="shared" si="9"/>
        <v>2.564102564102564E-2</v>
      </c>
      <c r="G157">
        <f t="shared" si="10"/>
        <v>7.4518551587295532</v>
      </c>
      <c r="H157">
        <f t="shared" si="11"/>
        <v>7.0489983911162192E-3</v>
      </c>
    </row>
    <row r="158" spans="1:8" x14ac:dyDescent="0.25">
      <c r="A158">
        <v>2400480</v>
      </c>
      <c r="B158" t="s">
        <v>59</v>
      </c>
      <c r="C158" s="2">
        <v>43917.83153935185</v>
      </c>
      <c r="D158">
        <v>1055</v>
      </c>
      <c r="E158">
        <v>2700</v>
      </c>
      <c r="F158">
        <f t="shared" si="9"/>
        <v>0.39074074074074072</v>
      </c>
      <c r="G158">
        <f t="shared" si="10"/>
        <v>7.3097800925929084</v>
      </c>
      <c r="H158">
        <f t="shared" si="11"/>
        <v>0.11009635175907231</v>
      </c>
    </row>
    <row r="159" spans="1:8" x14ac:dyDescent="0.25">
      <c r="A159">
        <v>2400480</v>
      </c>
      <c r="B159" t="s">
        <v>59</v>
      </c>
      <c r="C159" s="2">
        <v>43919.822812500002</v>
      </c>
      <c r="D159">
        <v>2498</v>
      </c>
      <c r="E159">
        <v>5400</v>
      </c>
      <c r="F159">
        <f t="shared" si="9"/>
        <v>0.46259259259259261</v>
      </c>
      <c r="G159">
        <f t="shared" si="10"/>
        <v>7.025312499999667</v>
      </c>
      <c r="H159">
        <f t="shared" si="11"/>
        <v>0.13692767259172201</v>
      </c>
    </row>
    <row r="160" spans="1:8" x14ac:dyDescent="0.25">
      <c r="A160">
        <v>2400480</v>
      </c>
      <c r="B160" t="s">
        <v>59</v>
      </c>
      <c r="C160" s="2">
        <v>43920.703113425923</v>
      </c>
      <c r="D160">
        <v>1051</v>
      </c>
      <c r="E160">
        <v>1500</v>
      </c>
      <c r="F160">
        <f t="shared" si="9"/>
        <v>0.70066666666666666</v>
      </c>
      <c r="G160">
        <f t="shared" si="10"/>
        <v>6.8995552248681111</v>
      </c>
      <c r="H160">
        <f t="shared" si="11"/>
        <v>0.21196696773475115</v>
      </c>
    </row>
    <row r="161" spans="1:8" x14ac:dyDescent="0.25">
      <c r="A161">
        <v>2400480</v>
      </c>
      <c r="B161" t="s">
        <v>59</v>
      </c>
      <c r="C161" s="2">
        <v>43920.845416666663</v>
      </c>
      <c r="D161">
        <v>1656</v>
      </c>
      <c r="E161">
        <v>4500</v>
      </c>
      <c r="F161">
        <f t="shared" si="9"/>
        <v>0.36799999999999999</v>
      </c>
      <c r="G161">
        <f t="shared" si="10"/>
        <v>6.8792261904766621</v>
      </c>
      <c r="H161">
        <f t="shared" si="11"/>
        <v>0.11172090912533274</v>
      </c>
    </row>
    <row r="162" spans="1:8" x14ac:dyDescent="0.25">
      <c r="A162">
        <v>2400480</v>
      </c>
      <c r="B162" t="s">
        <v>59</v>
      </c>
      <c r="C162" s="2">
        <v>43921.831979166673</v>
      </c>
      <c r="D162">
        <v>771</v>
      </c>
      <c r="E162">
        <v>4500</v>
      </c>
      <c r="F162">
        <f t="shared" si="9"/>
        <v>0.17133333333333334</v>
      </c>
      <c r="G162">
        <f t="shared" si="10"/>
        <v>6.738288690475331</v>
      </c>
      <c r="H162">
        <f t="shared" si="11"/>
        <v>5.3300969733818808E-2</v>
      </c>
    </row>
    <row r="163" spans="1:8" x14ac:dyDescent="0.25">
      <c r="A163">
        <v>2400480</v>
      </c>
      <c r="B163" t="s">
        <v>59</v>
      </c>
      <c r="C163" s="2">
        <v>43922.851215277777</v>
      </c>
      <c r="D163">
        <v>1155</v>
      </c>
      <c r="E163">
        <v>4500</v>
      </c>
      <c r="F163">
        <f t="shared" si="9"/>
        <v>0.25666666666666665</v>
      </c>
      <c r="G163">
        <f t="shared" si="10"/>
        <v>6.5926835317461938</v>
      </c>
      <c r="H163">
        <f t="shared" si="11"/>
        <v>8.1888062694604996E-2</v>
      </c>
    </row>
    <row r="164" spans="1:8" x14ac:dyDescent="0.25">
      <c r="A164">
        <v>2400480</v>
      </c>
      <c r="B164" t="s">
        <v>59</v>
      </c>
      <c r="C164" s="2">
        <v>43923.714108796303</v>
      </c>
      <c r="D164">
        <v>69</v>
      </c>
      <c r="E164">
        <v>1500</v>
      </c>
      <c r="F164">
        <f t="shared" si="9"/>
        <v>4.5999999999999999E-2</v>
      </c>
      <c r="G164">
        <f t="shared" si="10"/>
        <v>6.4694130290996066</v>
      </c>
      <c r="H164">
        <f t="shared" si="11"/>
        <v>1.4992911852315841E-2</v>
      </c>
    </row>
    <row r="165" spans="1:8" x14ac:dyDescent="0.25">
      <c r="A165">
        <v>2400480</v>
      </c>
      <c r="B165" t="s">
        <v>59</v>
      </c>
      <c r="C165" s="2">
        <v>43924.26730324074</v>
      </c>
      <c r="D165">
        <v>305</v>
      </c>
      <c r="E165">
        <v>4200</v>
      </c>
      <c r="F165">
        <f t="shared" si="9"/>
        <v>7.2619047619047625E-2</v>
      </c>
      <c r="G165">
        <f t="shared" si="10"/>
        <v>6.3903852513228356</v>
      </c>
      <c r="H165">
        <f t="shared" si="11"/>
        <v>2.3995297446174541E-2</v>
      </c>
    </row>
    <row r="166" spans="1:8" x14ac:dyDescent="0.25">
      <c r="A166">
        <v>2400480</v>
      </c>
      <c r="B166" t="s">
        <v>59</v>
      </c>
      <c r="C166" s="2">
        <v>43926.858449074083</v>
      </c>
      <c r="D166">
        <v>671</v>
      </c>
      <c r="E166">
        <v>5400</v>
      </c>
      <c r="F166">
        <f t="shared" si="9"/>
        <v>0.12425925925925926</v>
      </c>
      <c r="G166">
        <f t="shared" si="10"/>
        <v>6.0202215608452594</v>
      </c>
      <c r="H166">
        <f t="shared" si="11"/>
        <v>4.3778607423918856E-2</v>
      </c>
    </row>
    <row r="167" spans="1:8" x14ac:dyDescent="0.25">
      <c r="A167">
        <v>2400480</v>
      </c>
      <c r="B167" t="s">
        <v>59</v>
      </c>
      <c r="C167" s="2">
        <v>43927.836689814823</v>
      </c>
      <c r="D167">
        <v>725</v>
      </c>
      <c r="E167">
        <v>4500</v>
      </c>
      <c r="F167">
        <f t="shared" si="9"/>
        <v>0.16111111111111112</v>
      </c>
      <c r="G167">
        <f t="shared" si="10"/>
        <v>5.8804728835966671</v>
      </c>
      <c r="H167">
        <f t="shared" si="11"/>
        <v>5.8153493710874478E-2</v>
      </c>
    </row>
    <row r="168" spans="1:8" x14ac:dyDescent="0.25">
      <c r="A168">
        <v>2400480</v>
      </c>
      <c r="B168" t="s">
        <v>59</v>
      </c>
      <c r="C168" s="2">
        <v>43929.333692129629</v>
      </c>
      <c r="D168">
        <v>569</v>
      </c>
      <c r="E168">
        <v>600</v>
      </c>
      <c r="F168">
        <f t="shared" si="9"/>
        <v>0.94833333333333336</v>
      </c>
      <c r="G168">
        <f t="shared" si="10"/>
        <v>5.6666154100530548</v>
      </c>
      <c r="H168">
        <f t="shared" si="11"/>
        <v>0.35522679128669338</v>
      </c>
    </row>
    <row r="169" spans="1:8" x14ac:dyDescent="0.25">
      <c r="A169">
        <v>2400480</v>
      </c>
      <c r="B169" t="s">
        <v>59</v>
      </c>
      <c r="C169" s="2">
        <v>43929.84269675926</v>
      </c>
      <c r="D169">
        <v>364</v>
      </c>
      <c r="E169">
        <v>4500</v>
      </c>
      <c r="F169">
        <f t="shared" si="9"/>
        <v>8.0888888888888885E-2</v>
      </c>
      <c r="G169">
        <f t="shared" si="10"/>
        <v>5.5939004629627949</v>
      </c>
      <c r="H169">
        <f t="shared" si="11"/>
        <v>3.0683571691308472E-2</v>
      </c>
    </row>
    <row r="170" spans="1:8" x14ac:dyDescent="0.25">
      <c r="A170">
        <v>2400480</v>
      </c>
      <c r="B170" t="s">
        <v>59</v>
      </c>
      <c r="C170" s="2">
        <v>43931.810914351852</v>
      </c>
      <c r="D170">
        <v>317</v>
      </c>
      <c r="E170">
        <v>3900</v>
      </c>
      <c r="F170">
        <f t="shared" si="9"/>
        <v>8.1282051282051279E-2</v>
      </c>
      <c r="G170">
        <f t="shared" si="10"/>
        <v>5.3127265211639623</v>
      </c>
      <c r="H170">
        <f t="shared" si="11"/>
        <v>3.2372194776452159E-2</v>
      </c>
    </row>
    <row r="171" spans="1:8" x14ac:dyDescent="0.25">
      <c r="A171">
        <v>2400480</v>
      </c>
      <c r="B171" t="s">
        <v>59</v>
      </c>
      <c r="C171" s="2">
        <v>43933.229050925933</v>
      </c>
      <c r="D171">
        <v>250</v>
      </c>
      <c r="E171">
        <v>2100</v>
      </c>
      <c r="F171">
        <f t="shared" si="9"/>
        <v>0.11904761904761904</v>
      </c>
      <c r="G171">
        <f t="shared" si="10"/>
        <v>5.1101355820095966</v>
      </c>
      <c r="H171">
        <f t="shared" si="11"/>
        <v>4.9107145581123494E-2</v>
      </c>
    </row>
    <row r="172" spans="1:8" x14ac:dyDescent="0.25">
      <c r="A172">
        <v>2400480</v>
      </c>
      <c r="B172" t="s">
        <v>59</v>
      </c>
      <c r="C172" s="2">
        <v>43935.822094907409</v>
      </c>
      <c r="D172">
        <v>1114</v>
      </c>
      <c r="E172">
        <v>4500</v>
      </c>
      <c r="F172">
        <f t="shared" si="9"/>
        <v>0.24755555555555556</v>
      </c>
      <c r="G172">
        <f t="shared" si="10"/>
        <v>4.7397007275129521</v>
      </c>
      <c r="H172">
        <f t="shared" si="11"/>
        <v>0.10888665455418974</v>
      </c>
    </row>
    <row r="173" spans="1:8" x14ac:dyDescent="0.25">
      <c r="A173">
        <v>2400480</v>
      </c>
      <c r="B173" t="s">
        <v>59</v>
      </c>
      <c r="C173" s="2">
        <v>43936.236157407409</v>
      </c>
      <c r="D173">
        <v>788</v>
      </c>
      <c r="E173">
        <v>4200</v>
      </c>
      <c r="F173">
        <f t="shared" si="9"/>
        <v>0.18761904761904763</v>
      </c>
      <c r="G173">
        <f t="shared" si="10"/>
        <v>4.6805489417986665</v>
      </c>
      <c r="H173">
        <f t="shared" si="11"/>
        <v>8.337397738793631E-2</v>
      </c>
    </row>
    <row r="174" spans="1:8" x14ac:dyDescent="0.25">
      <c r="A174">
        <v>2400480</v>
      </c>
      <c r="B174" t="s">
        <v>59</v>
      </c>
      <c r="C174" s="2">
        <v>43938.377187500002</v>
      </c>
      <c r="D174">
        <v>411</v>
      </c>
      <c r="E174">
        <v>600</v>
      </c>
      <c r="F174">
        <f t="shared" si="9"/>
        <v>0.68500000000000005</v>
      </c>
      <c r="G174">
        <f t="shared" si="10"/>
        <v>4.374687499999709</v>
      </c>
      <c r="H174">
        <f t="shared" si="11"/>
        <v>0.32096858800141204</v>
      </c>
    </row>
    <row r="175" spans="1:8" x14ac:dyDescent="0.25">
      <c r="A175">
        <v>2400480</v>
      </c>
      <c r="B175" t="s">
        <v>59</v>
      </c>
      <c r="C175" s="2">
        <v>43939.821226851847</v>
      </c>
      <c r="D175">
        <v>466</v>
      </c>
      <c r="E175">
        <v>3000</v>
      </c>
      <c r="F175">
        <f t="shared" si="9"/>
        <v>0.15533333333333332</v>
      </c>
      <c r="G175">
        <f t="shared" si="10"/>
        <v>4.1683961640218126</v>
      </c>
      <c r="H175">
        <f t="shared" si="11"/>
        <v>7.5433036831809061E-2</v>
      </c>
    </row>
    <row r="176" spans="1:8" x14ac:dyDescent="0.25">
      <c r="A176">
        <v>2400480</v>
      </c>
      <c r="B176" t="s">
        <v>59</v>
      </c>
      <c r="C176" s="2">
        <v>43942.853888888887</v>
      </c>
      <c r="D176">
        <v>524</v>
      </c>
      <c r="E176">
        <v>4500</v>
      </c>
      <c r="F176">
        <f t="shared" si="9"/>
        <v>0.11644444444444445</v>
      </c>
      <c r="G176">
        <f t="shared" si="10"/>
        <v>3.7351587301589979</v>
      </c>
      <c r="H176">
        <f t="shared" si="11"/>
        <v>6.0956506511643908E-2</v>
      </c>
    </row>
    <row r="177" spans="1:8" x14ac:dyDescent="0.25">
      <c r="A177">
        <v>2400480</v>
      </c>
      <c r="B177" t="s">
        <v>59</v>
      </c>
      <c r="C177" s="2">
        <v>43943.332337962973</v>
      </c>
      <c r="D177">
        <v>26</v>
      </c>
      <c r="E177">
        <v>600</v>
      </c>
      <c r="F177">
        <f t="shared" si="9"/>
        <v>4.3333333333333335E-2</v>
      </c>
      <c r="G177">
        <f t="shared" si="10"/>
        <v>3.6668088624324549</v>
      </c>
      <c r="H177">
        <f t="shared" si="11"/>
        <v>2.2954468091168911E-2</v>
      </c>
    </row>
    <row r="178" spans="1:8" x14ac:dyDescent="0.25">
      <c r="A178">
        <v>2400480</v>
      </c>
      <c r="B178" t="s">
        <v>59</v>
      </c>
      <c r="C178" s="2">
        <v>43944.802268518521</v>
      </c>
      <c r="D178">
        <v>89</v>
      </c>
      <c r="E178">
        <v>3900</v>
      </c>
      <c r="F178">
        <f t="shared" si="9"/>
        <v>2.2820512820512822E-2</v>
      </c>
      <c r="G178">
        <f t="shared" si="10"/>
        <v>3.4568187830684889</v>
      </c>
      <c r="H178">
        <f t="shared" si="11"/>
        <v>1.2536429531400021E-2</v>
      </c>
    </row>
    <row r="179" spans="1:8" x14ac:dyDescent="0.25">
      <c r="A179">
        <v>2400480</v>
      </c>
      <c r="B179" t="s">
        <v>59</v>
      </c>
      <c r="C179" s="2">
        <v>43946.23841435185</v>
      </c>
      <c r="D179">
        <v>1901</v>
      </c>
      <c r="E179">
        <v>3600</v>
      </c>
      <c r="F179">
        <f t="shared" si="9"/>
        <v>0.5280555555555555</v>
      </c>
      <c r="G179">
        <f t="shared" si="10"/>
        <v>3.2516550925928249</v>
      </c>
      <c r="H179">
        <f t="shared" si="11"/>
        <v>0.30058561056574146</v>
      </c>
    </row>
    <row r="180" spans="1:8" x14ac:dyDescent="0.25">
      <c r="A180">
        <v>2400480</v>
      </c>
      <c r="B180" t="s">
        <v>59</v>
      </c>
      <c r="C180" s="2">
        <v>43948.223055555558</v>
      </c>
      <c r="D180">
        <v>430</v>
      </c>
      <c r="E180">
        <v>5400</v>
      </c>
      <c r="F180">
        <f t="shared" si="9"/>
        <v>7.9629629629629634E-2</v>
      </c>
      <c r="G180">
        <f t="shared" si="10"/>
        <v>2.9681349206345788</v>
      </c>
      <c r="H180">
        <f t="shared" si="11"/>
        <v>4.7610230622023027E-2</v>
      </c>
    </row>
    <row r="181" spans="1:8" x14ac:dyDescent="0.25">
      <c r="A181">
        <v>2400480</v>
      </c>
      <c r="B181" t="s">
        <v>59</v>
      </c>
      <c r="C181" s="2">
        <v>43948.810185185182</v>
      </c>
      <c r="D181">
        <v>340</v>
      </c>
      <c r="E181">
        <v>4500</v>
      </c>
      <c r="F181">
        <f t="shared" si="9"/>
        <v>7.5555555555555556E-2</v>
      </c>
      <c r="G181">
        <f t="shared" si="10"/>
        <v>2.8842592592596441</v>
      </c>
      <c r="H181">
        <f t="shared" si="11"/>
        <v>4.5835741892701072E-2</v>
      </c>
    </row>
    <row r="182" spans="1:8" x14ac:dyDescent="0.25">
      <c r="A182">
        <v>2400480</v>
      </c>
      <c r="B182" t="s">
        <v>59</v>
      </c>
      <c r="C182" s="2">
        <v>43949.80400462963</v>
      </c>
      <c r="D182">
        <v>454</v>
      </c>
      <c r="E182">
        <v>4500</v>
      </c>
      <c r="F182">
        <f t="shared" si="9"/>
        <v>0.10088888888888889</v>
      </c>
      <c r="G182">
        <f t="shared" si="10"/>
        <v>2.7422850529099896</v>
      </c>
      <c r="H182">
        <f t="shared" si="11"/>
        <v>6.2728633189500713E-2</v>
      </c>
    </row>
    <row r="183" spans="1:8" x14ac:dyDescent="0.25">
      <c r="A183">
        <v>2400480</v>
      </c>
      <c r="B183" t="s">
        <v>59</v>
      </c>
      <c r="C183" s="2">
        <v>43950.623819444438</v>
      </c>
      <c r="D183">
        <v>1500</v>
      </c>
      <c r="E183">
        <v>1500</v>
      </c>
      <c r="F183">
        <f t="shared" si="9"/>
        <v>1</v>
      </c>
      <c r="G183">
        <f t="shared" si="10"/>
        <v>2.6251686507946164</v>
      </c>
      <c r="H183">
        <f t="shared" si="11"/>
        <v>0.63450693488783694</v>
      </c>
    </row>
    <row r="184" spans="1:8" x14ac:dyDescent="0.25">
      <c r="A184">
        <v>2400480</v>
      </c>
      <c r="B184" t="s">
        <v>59</v>
      </c>
      <c r="C184" s="2">
        <v>43951.292233796303</v>
      </c>
      <c r="D184">
        <v>154</v>
      </c>
      <c r="E184">
        <v>600</v>
      </c>
      <c r="F184">
        <f t="shared" si="9"/>
        <v>0.25666666666666665</v>
      </c>
      <c r="G184">
        <f t="shared" si="10"/>
        <v>2.5296808862424638</v>
      </c>
      <c r="H184">
        <f t="shared" si="11"/>
        <v>0.16557395163287628</v>
      </c>
    </row>
    <row r="185" spans="1:8" x14ac:dyDescent="0.25">
      <c r="A185">
        <v>2400480</v>
      </c>
      <c r="B185" t="s">
        <v>59</v>
      </c>
      <c r="C185" s="2">
        <v>43951.822685185187</v>
      </c>
      <c r="D185">
        <v>348</v>
      </c>
      <c r="E185">
        <v>3900</v>
      </c>
      <c r="F185">
        <f t="shared" si="9"/>
        <v>8.9230769230769225E-2</v>
      </c>
      <c r="G185">
        <f t="shared" si="10"/>
        <v>2.4539021164018777</v>
      </c>
      <c r="H185">
        <f t="shared" si="11"/>
        <v>5.8323033045456649E-2</v>
      </c>
    </row>
    <row r="186" spans="1:8" x14ac:dyDescent="0.25">
      <c r="A186">
        <v>2400480</v>
      </c>
      <c r="B186" t="s">
        <v>59</v>
      </c>
      <c r="C186" s="2">
        <v>43952.374224537038</v>
      </c>
      <c r="D186">
        <v>600</v>
      </c>
      <c r="E186">
        <v>600</v>
      </c>
      <c r="F186">
        <f t="shared" si="9"/>
        <v>1</v>
      </c>
      <c r="G186">
        <f t="shared" si="10"/>
        <v>2.3751107804231912</v>
      </c>
      <c r="H186">
        <f t="shared" si="11"/>
        <v>0.66260560156083825</v>
      </c>
    </row>
    <row r="187" spans="1:8" x14ac:dyDescent="0.25">
      <c r="A187">
        <v>2400480</v>
      </c>
      <c r="B187" t="s">
        <v>59</v>
      </c>
      <c r="C187" s="2">
        <v>43954.858356481483</v>
      </c>
      <c r="D187">
        <v>706</v>
      </c>
      <c r="E187">
        <v>5400</v>
      </c>
      <c r="F187">
        <f t="shared" si="9"/>
        <v>0.13074074074074074</v>
      </c>
      <c r="G187">
        <f t="shared" si="10"/>
        <v>2.0202347883595002</v>
      </c>
      <c r="H187">
        <f t="shared" si="11"/>
        <v>9.2124071523638926E-2</v>
      </c>
    </row>
    <row r="188" spans="1:8" x14ac:dyDescent="0.25">
      <c r="A188">
        <v>2400480</v>
      </c>
      <c r="B188" t="s">
        <v>59</v>
      </c>
      <c r="C188" s="2">
        <v>43957.823912037027</v>
      </c>
      <c r="D188">
        <v>2539</v>
      </c>
      <c r="E188">
        <v>4500</v>
      </c>
      <c r="F188">
        <f t="shared" si="9"/>
        <v>0.56422222222222218</v>
      </c>
      <c r="G188">
        <f t="shared" si="10"/>
        <v>1.5965839947104021</v>
      </c>
      <c r="H188">
        <f t="shared" si="11"/>
        <v>0.42785367715088229</v>
      </c>
    </row>
    <row r="189" spans="1:8" x14ac:dyDescent="0.25">
      <c r="A189">
        <v>2400480</v>
      </c>
      <c r="B189" t="s">
        <v>59</v>
      </c>
      <c r="C189" s="2">
        <v>43961.873645833337</v>
      </c>
      <c r="D189">
        <v>117</v>
      </c>
      <c r="E189">
        <v>5400</v>
      </c>
      <c r="F189">
        <f t="shared" si="9"/>
        <v>2.1666666666666667E-2</v>
      </c>
      <c r="G189">
        <f t="shared" si="10"/>
        <v>1.0180505952375825</v>
      </c>
      <c r="H189">
        <f t="shared" si="11"/>
        <v>1.8162522292521788E-2</v>
      </c>
    </row>
    <row r="190" spans="1:8" x14ac:dyDescent="0.25">
      <c r="A190">
        <v>2400480</v>
      </c>
      <c r="B190" t="s">
        <v>59</v>
      </c>
      <c r="C190" s="2">
        <v>43962.211736111109</v>
      </c>
      <c r="D190">
        <v>3277</v>
      </c>
      <c r="E190">
        <v>5400</v>
      </c>
      <c r="F190">
        <f t="shared" si="9"/>
        <v>0.60685185185185186</v>
      </c>
      <c r="G190">
        <f t="shared" si="10"/>
        <v>0.96975198412733987</v>
      </c>
      <c r="H190">
        <f t="shared" si="11"/>
        <v>0.51298134588816013</v>
      </c>
    </row>
    <row r="191" spans="1:8" x14ac:dyDescent="0.25">
      <c r="A191">
        <v>2400480</v>
      </c>
      <c r="B191" t="s">
        <v>59</v>
      </c>
      <c r="C191" s="2">
        <v>43963.804016203707</v>
      </c>
      <c r="D191">
        <v>3</v>
      </c>
      <c r="E191">
        <v>4500</v>
      </c>
      <c r="F191">
        <f t="shared" si="9"/>
        <v>6.6666666666666664E-4</v>
      </c>
      <c r="G191">
        <f t="shared" si="10"/>
        <v>0.74228339947044986</v>
      </c>
      <c r="H191">
        <f t="shared" si="11"/>
        <v>5.862007217400444E-4</v>
      </c>
    </row>
    <row r="192" spans="1:8" x14ac:dyDescent="0.25">
      <c r="A192">
        <v>2400480</v>
      </c>
      <c r="B192" t="s">
        <v>59</v>
      </c>
      <c r="C192" s="2">
        <v>43965.835219907407</v>
      </c>
      <c r="D192">
        <v>397</v>
      </c>
      <c r="E192">
        <v>3900</v>
      </c>
      <c r="F192">
        <f t="shared" si="9"/>
        <v>0.10179487179487179</v>
      </c>
      <c r="G192">
        <f t="shared" si="10"/>
        <v>0.45211144179899876</v>
      </c>
      <c r="H192">
        <f t="shared" si="11"/>
        <v>9.4124162162848579E-2</v>
      </c>
    </row>
    <row r="193" spans="1:8" x14ac:dyDescent="0.25">
      <c r="A193">
        <v>2400480</v>
      </c>
      <c r="B193" t="s">
        <v>59</v>
      </c>
      <c r="C193" s="2">
        <v>43966.464490740742</v>
      </c>
      <c r="D193">
        <v>1200</v>
      </c>
      <c r="E193">
        <v>1200</v>
      </c>
      <c r="F193">
        <f t="shared" si="9"/>
        <v>1</v>
      </c>
      <c r="G193">
        <f t="shared" si="10"/>
        <v>0.36221560846544371</v>
      </c>
      <c r="H193">
        <f t="shared" si="11"/>
        <v>0.93916210213584828</v>
      </c>
    </row>
    <row r="194" spans="1:8" x14ac:dyDescent="0.25">
      <c r="A194">
        <v>2400508</v>
      </c>
      <c r="B194" t="s">
        <v>34</v>
      </c>
      <c r="C194" s="2">
        <v>43903.319675925923</v>
      </c>
      <c r="D194">
        <v>465</v>
      </c>
      <c r="E194">
        <v>900</v>
      </c>
      <c r="F194">
        <f t="shared" ref="F194:F257" si="12">MIN(D194/E194,1)</f>
        <v>0.51666666666666672</v>
      </c>
      <c r="G194">
        <f t="shared" ref="G194:G242" si="13">(DATE(2020,5,18)-C194)/7</f>
        <v>9.3829034391539086</v>
      </c>
      <c r="H194">
        <f t="shared" ref="H194:H257" si="14">F194*0.5^(G194/4)</f>
        <v>0.1016427948044635</v>
      </c>
    </row>
    <row r="195" spans="1:8" x14ac:dyDescent="0.25">
      <c r="A195">
        <v>2400508</v>
      </c>
      <c r="B195" t="s">
        <v>34</v>
      </c>
      <c r="C195" s="2">
        <v>43908.286782407413</v>
      </c>
      <c r="D195">
        <v>600</v>
      </c>
      <c r="E195">
        <v>600</v>
      </c>
      <c r="F195">
        <f t="shared" si="12"/>
        <v>1</v>
      </c>
      <c r="G195">
        <f t="shared" si="13"/>
        <v>8.6733167989410251</v>
      </c>
      <c r="H195">
        <f t="shared" si="14"/>
        <v>0.22246816387474688</v>
      </c>
    </row>
    <row r="196" spans="1:8" x14ac:dyDescent="0.25">
      <c r="A196">
        <v>2400508</v>
      </c>
      <c r="B196" t="s">
        <v>34</v>
      </c>
      <c r="C196" s="2">
        <v>43908.785914351851</v>
      </c>
      <c r="D196">
        <v>2688</v>
      </c>
      <c r="E196">
        <v>4200</v>
      </c>
      <c r="F196">
        <f t="shared" si="12"/>
        <v>0.64</v>
      </c>
      <c r="G196">
        <f t="shared" si="13"/>
        <v>8.6020122354498856</v>
      </c>
      <c r="H196">
        <f t="shared" si="14"/>
        <v>0.14414980110675965</v>
      </c>
    </row>
    <row r="197" spans="1:8" x14ac:dyDescent="0.25">
      <c r="A197">
        <v>2400508</v>
      </c>
      <c r="B197" t="s">
        <v>34</v>
      </c>
      <c r="C197" s="2">
        <v>43909.320625</v>
      </c>
      <c r="D197">
        <v>84</v>
      </c>
      <c r="E197">
        <v>900</v>
      </c>
      <c r="F197">
        <f t="shared" si="12"/>
        <v>9.3333333333333338E-2</v>
      </c>
      <c r="G197">
        <f t="shared" si="13"/>
        <v>8.5256249999999589</v>
      </c>
      <c r="H197">
        <f t="shared" si="14"/>
        <v>2.1301959881231926E-2</v>
      </c>
    </row>
    <row r="198" spans="1:8" x14ac:dyDescent="0.25">
      <c r="A198">
        <v>2400508</v>
      </c>
      <c r="B198" t="s">
        <v>34</v>
      </c>
      <c r="C198" s="2">
        <v>43911.289780092593</v>
      </c>
      <c r="D198">
        <v>1800</v>
      </c>
      <c r="E198">
        <v>1800</v>
      </c>
      <c r="F198">
        <f t="shared" si="12"/>
        <v>1</v>
      </c>
      <c r="G198">
        <f t="shared" si="13"/>
        <v>8.2443171296295734</v>
      </c>
      <c r="H198">
        <f t="shared" si="14"/>
        <v>0.23963669017633649</v>
      </c>
    </row>
    <row r="199" spans="1:8" x14ac:dyDescent="0.25">
      <c r="A199">
        <v>2400508</v>
      </c>
      <c r="B199" t="s">
        <v>34</v>
      </c>
      <c r="C199" s="2">
        <v>43915.805046296293</v>
      </c>
      <c r="D199">
        <v>1895</v>
      </c>
      <c r="E199">
        <v>4200</v>
      </c>
      <c r="F199">
        <f t="shared" si="12"/>
        <v>0.4511904761904762</v>
      </c>
      <c r="G199">
        <f t="shared" si="13"/>
        <v>7.5992791005295919</v>
      </c>
      <c r="H199">
        <f t="shared" si="14"/>
        <v>0.12090859797639422</v>
      </c>
    </row>
    <row r="200" spans="1:8" x14ac:dyDescent="0.25">
      <c r="A200">
        <v>2400508</v>
      </c>
      <c r="B200" t="s">
        <v>34</v>
      </c>
      <c r="C200" s="2">
        <v>43919.286076388889</v>
      </c>
      <c r="D200">
        <v>686</v>
      </c>
      <c r="E200">
        <v>3600</v>
      </c>
      <c r="F200">
        <f t="shared" si="12"/>
        <v>0.19055555555555556</v>
      </c>
      <c r="G200">
        <f t="shared" si="13"/>
        <v>7.101989087301523</v>
      </c>
      <c r="H200">
        <f t="shared" si="14"/>
        <v>5.5660061120749268E-2</v>
      </c>
    </row>
    <row r="201" spans="1:8" x14ac:dyDescent="0.25">
      <c r="A201">
        <v>2400508</v>
      </c>
      <c r="B201" t="s">
        <v>34</v>
      </c>
      <c r="C201" s="2">
        <v>43920.625671296293</v>
      </c>
      <c r="D201">
        <v>532</v>
      </c>
      <c r="E201">
        <v>1800</v>
      </c>
      <c r="F201">
        <f t="shared" si="12"/>
        <v>0.29555555555555557</v>
      </c>
      <c r="G201">
        <f t="shared" si="13"/>
        <v>6.9106183862438355</v>
      </c>
      <c r="H201">
        <f t="shared" si="14"/>
        <v>8.9240762316995612E-2</v>
      </c>
    </row>
    <row r="202" spans="1:8" x14ac:dyDescent="0.25">
      <c r="A202">
        <v>2400508</v>
      </c>
      <c r="B202" t="s">
        <v>34</v>
      </c>
      <c r="C202" s="2">
        <v>43921.836226851847</v>
      </c>
      <c r="D202">
        <v>75</v>
      </c>
      <c r="E202">
        <v>4200</v>
      </c>
      <c r="F202">
        <f t="shared" si="12"/>
        <v>1.7857142857142856E-2</v>
      </c>
      <c r="G202">
        <f t="shared" si="13"/>
        <v>6.73768187830761</v>
      </c>
      <c r="H202">
        <f t="shared" si="14"/>
        <v>5.5558547902271691E-3</v>
      </c>
    </row>
    <row r="203" spans="1:8" x14ac:dyDescent="0.25">
      <c r="A203">
        <v>2400508</v>
      </c>
      <c r="B203" t="s">
        <v>34</v>
      </c>
      <c r="C203" s="2">
        <v>43923.337951388887</v>
      </c>
      <c r="D203">
        <v>501</v>
      </c>
      <c r="E203">
        <v>900</v>
      </c>
      <c r="F203">
        <f t="shared" si="12"/>
        <v>0.55666666666666664</v>
      </c>
      <c r="G203">
        <f t="shared" si="13"/>
        <v>6.5231498015876115</v>
      </c>
      <c r="H203">
        <f t="shared" si="14"/>
        <v>0.17975429550227104</v>
      </c>
    </row>
    <row r="204" spans="1:8" x14ac:dyDescent="0.25">
      <c r="A204">
        <v>2400508</v>
      </c>
      <c r="B204" t="s">
        <v>34</v>
      </c>
      <c r="C204" s="2">
        <v>43928.359282407408</v>
      </c>
      <c r="D204">
        <v>427</v>
      </c>
      <c r="E204">
        <v>1800</v>
      </c>
      <c r="F204">
        <f t="shared" si="12"/>
        <v>0.23722222222222222</v>
      </c>
      <c r="G204">
        <f t="shared" si="13"/>
        <v>5.8058167989417724</v>
      </c>
      <c r="H204">
        <f t="shared" si="14"/>
        <v>8.6740938849416194E-2</v>
      </c>
    </row>
    <row r="205" spans="1:8" x14ac:dyDescent="0.25">
      <c r="A205">
        <v>2400508</v>
      </c>
      <c r="B205" t="s">
        <v>34</v>
      </c>
      <c r="C205" s="2">
        <v>43929.317199074067</v>
      </c>
      <c r="D205">
        <v>21</v>
      </c>
      <c r="E205">
        <v>900</v>
      </c>
      <c r="F205">
        <f t="shared" si="12"/>
        <v>2.3333333333333334E-2</v>
      </c>
      <c r="G205">
        <f t="shared" si="13"/>
        <v>5.6689715608476297</v>
      </c>
      <c r="H205">
        <f t="shared" si="14"/>
        <v>8.7366344388667069E-3</v>
      </c>
    </row>
    <row r="206" spans="1:8" x14ac:dyDescent="0.25">
      <c r="A206">
        <v>2400508</v>
      </c>
      <c r="B206" t="s">
        <v>34</v>
      </c>
      <c r="C206" s="2">
        <v>43929.394583333327</v>
      </c>
      <c r="D206">
        <v>108</v>
      </c>
      <c r="E206">
        <v>1800</v>
      </c>
      <c r="F206">
        <f t="shared" si="12"/>
        <v>0.06</v>
      </c>
      <c r="G206">
        <f t="shared" si="13"/>
        <v>5.6579166666675258</v>
      </c>
      <c r="H206">
        <f t="shared" si="14"/>
        <v>2.2508709335382182E-2</v>
      </c>
    </row>
    <row r="207" spans="1:8" x14ac:dyDescent="0.25">
      <c r="A207">
        <v>2400508</v>
      </c>
      <c r="B207" t="s">
        <v>34</v>
      </c>
      <c r="C207" s="2">
        <v>43931.343726851846</v>
      </c>
      <c r="D207">
        <v>2</v>
      </c>
      <c r="E207">
        <v>900</v>
      </c>
      <c r="F207">
        <f t="shared" si="12"/>
        <v>2.2222222222222222E-3</v>
      </c>
      <c r="G207">
        <f t="shared" si="13"/>
        <v>5.3794675925933655</v>
      </c>
      <c r="H207">
        <f t="shared" si="14"/>
        <v>8.7486735144774264E-4</v>
      </c>
    </row>
    <row r="208" spans="1:8" x14ac:dyDescent="0.25">
      <c r="A208">
        <v>2400508</v>
      </c>
      <c r="B208" t="s">
        <v>34</v>
      </c>
      <c r="C208" s="2">
        <v>43932.275046296287</v>
      </c>
      <c r="D208">
        <v>1800</v>
      </c>
      <c r="E208">
        <v>1800</v>
      </c>
      <c r="F208">
        <f t="shared" si="12"/>
        <v>1</v>
      </c>
      <c r="G208">
        <f t="shared" si="13"/>
        <v>5.2464219576733218</v>
      </c>
      <c r="H208">
        <f t="shared" si="14"/>
        <v>0.40287229746284009</v>
      </c>
    </row>
    <row r="209" spans="1:8" x14ac:dyDescent="0.25">
      <c r="A209">
        <v>2400508</v>
      </c>
      <c r="B209" t="s">
        <v>34</v>
      </c>
      <c r="C209" s="2">
        <v>43935.626967592587</v>
      </c>
      <c r="D209">
        <v>498</v>
      </c>
      <c r="E209">
        <v>1800</v>
      </c>
      <c r="F209">
        <f t="shared" si="12"/>
        <v>0.27666666666666667</v>
      </c>
      <c r="G209">
        <f t="shared" si="13"/>
        <v>4.7675760582018745</v>
      </c>
      <c r="H209">
        <f t="shared" si="14"/>
        <v>0.12110469705771248</v>
      </c>
    </row>
    <row r="210" spans="1:8" x14ac:dyDescent="0.25">
      <c r="A210">
        <v>2400508</v>
      </c>
      <c r="B210" t="s">
        <v>34</v>
      </c>
      <c r="C210" s="2">
        <v>43935.802407407413</v>
      </c>
      <c r="D210">
        <v>365</v>
      </c>
      <c r="E210">
        <v>4200</v>
      </c>
      <c r="F210">
        <f t="shared" si="12"/>
        <v>8.6904761904761901E-2</v>
      </c>
      <c r="G210">
        <f t="shared" si="13"/>
        <v>4.7425132275124531</v>
      </c>
      <c r="H210">
        <f t="shared" si="14"/>
        <v>3.8206203976536152E-2</v>
      </c>
    </row>
    <row r="211" spans="1:8" x14ac:dyDescent="0.25">
      <c r="A211">
        <v>2400508</v>
      </c>
      <c r="B211" t="s">
        <v>34</v>
      </c>
      <c r="C211" s="2">
        <v>43937.33934027778</v>
      </c>
      <c r="D211">
        <v>379</v>
      </c>
      <c r="E211">
        <v>900</v>
      </c>
      <c r="F211">
        <f t="shared" si="12"/>
        <v>0.4211111111111111</v>
      </c>
      <c r="G211">
        <f t="shared" si="13"/>
        <v>4.5229513888885515</v>
      </c>
      <c r="H211">
        <f t="shared" si="14"/>
        <v>0.19231390713716093</v>
      </c>
    </row>
    <row r="212" spans="1:8" x14ac:dyDescent="0.25">
      <c r="A212">
        <v>2400508</v>
      </c>
      <c r="B212" t="s">
        <v>34</v>
      </c>
      <c r="C212" s="2">
        <v>43938.354745370372</v>
      </c>
      <c r="D212">
        <v>142</v>
      </c>
      <c r="E212">
        <v>1800</v>
      </c>
      <c r="F212">
        <f t="shared" si="12"/>
        <v>7.8888888888888883E-2</v>
      </c>
      <c r="G212">
        <f t="shared" si="13"/>
        <v>4.377893518518249</v>
      </c>
      <c r="H212">
        <f t="shared" si="14"/>
        <v>3.6944221768066568E-2</v>
      </c>
    </row>
    <row r="213" spans="1:8" x14ac:dyDescent="0.25">
      <c r="A213">
        <v>2400508</v>
      </c>
      <c r="B213" t="s">
        <v>34</v>
      </c>
      <c r="C213" s="2">
        <v>43943.343715277777</v>
      </c>
      <c r="D213">
        <v>3</v>
      </c>
      <c r="E213">
        <v>900</v>
      </c>
      <c r="F213">
        <f t="shared" si="12"/>
        <v>3.3333333333333335E-3</v>
      </c>
      <c r="G213">
        <f t="shared" si="13"/>
        <v>3.6651835317461519</v>
      </c>
      <c r="H213">
        <f t="shared" si="14"/>
        <v>1.7662256992045167E-3</v>
      </c>
    </row>
    <row r="214" spans="1:8" x14ac:dyDescent="0.25">
      <c r="A214">
        <v>2400508</v>
      </c>
      <c r="B214" t="s">
        <v>34</v>
      </c>
      <c r="C214" s="2">
        <v>43944.338680555556</v>
      </c>
      <c r="D214">
        <v>438</v>
      </c>
      <c r="E214">
        <v>900</v>
      </c>
      <c r="F214">
        <f t="shared" si="12"/>
        <v>0.48666666666666669</v>
      </c>
      <c r="G214">
        <f t="shared" si="13"/>
        <v>3.5230456349205008</v>
      </c>
      <c r="H214">
        <f t="shared" si="14"/>
        <v>0.26429929094133475</v>
      </c>
    </row>
    <row r="215" spans="1:8" x14ac:dyDescent="0.25">
      <c r="A215">
        <v>2400508</v>
      </c>
      <c r="B215" t="s">
        <v>34</v>
      </c>
      <c r="C215" s="2">
        <v>43945.333136574067</v>
      </c>
      <c r="D215">
        <v>900</v>
      </c>
      <c r="E215">
        <v>900</v>
      </c>
      <c r="F215">
        <f t="shared" si="12"/>
        <v>1</v>
      </c>
      <c r="G215">
        <f t="shared" si="13"/>
        <v>3.3809804894190165</v>
      </c>
      <c r="H215">
        <f t="shared" si="14"/>
        <v>0.55661622871559879</v>
      </c>
    </row>
    <row r="216" spans="1:8" x14ac:dyDescent="0.25">
      <c r="A216">
        <v>2400508</v>
      </c>
      <c r="B216" t="s">
        <v>34</v>
      </c>
      <c r="C216" s="2">
        <v>43951.294016203698</v>
      </c>
      <c r="D216">
        <v>397</v>
      </c>
      <c r="E216">
        <v>600</v>
      </c>
      <c r="F216">
        <f t="shared" si="12"/>
        <v>0.66166666666666663</v>
      </c>
      <c r="G216">
        <f t="shared" si="13"/>
        <v>2.5294262566146375</v>
      </c>
      <c r="H216">
        <f t="shared" si="14"/>
        <v>0.4268555795828427</v>
      </c>
    </row>
    <row r="217" spans="1:8" x14ac:dyDescent="0.25">
      <c r="A217">
        <v>2400508</v>
      </c>
      <c r="B217" t="s">
        <v>34</v>
      </c>
      <c r="C217" s="2">
        <v>43954.866319444453</v>
      </c>
      <c r="D217">
        <v>174</v>
      </c>
      <c r="E217">
        <v>7200</v>
      </c>
      <c r="F217">
        <f t="shared" si="12"/>
        <v>2.4166666666666666E-2</v>
      </c>
      <c r="G217">
        <f t="shared" si="13"/>
        <v>2.0190972222210672</v>
      </c>
      <c r="H217">
        <f t="shared" si="14"/>
        <v>1.7031956719811621E-2</v>
      </c>
    </row>
    <row r="218" spans="1:8" x14ac:dyDescent="0.25">
      <c r="A218">
        <v>2400508</v>
      </c>
      <c r="B218" t="s">
        <v>34</v>
      </c>
      <c r="C218" s="2">
        <v>43959.395636574067</v>
      </c>
      <c r="D218">
        <v>17</v>
      </c>
      <c r="E218">
        <v>1800</v>
      </c>
      <c r="F218">
        <f t="shared" si="12"/>
        <v>9.4444444444444445E-3</v>
      </c>
      <c r="G218">
        <f t="shared" si="13"/>
        <v>1.3720519179904451</v>
      </c>
      <c r="H218">
        <f t="shared" si="14"/>
        <v>7.4459346547070121E-3</v>
      </c>
    </row>
    <row r="219" spans="1:8" x14ac:dyDescent="0.25">
      <c r="A219">
        <v>2400508</v>
      </c>
      <c r="B219" t="s">
        <v>34</v>
      </c>
      <c r="C219" s="2">
        <v>43962.734074074076</v>
      </c>
      <c r="D219">
        <v>14</v>
      </c>
      <c r="E219">
        <v>4200</v>
      </c>
      <c r="F219">
        <f t="shared" si="12"/>
        <v>3.3333333333333335E-3</v>
      </c>
      <c r="G219">
        <f t="shared" si="13"/>
        <v>0.89513227513193017</v>
      </c>
      <c r="H219">
        <f t="shared" si="14"/>
        <v>2.8543901173376149E-3</v>
      </c>
    </row>
    <row r="220" spans="1:8" x14ac:dyDescent="0.25">
      <c r="A220">
        <v>2400508</v>
      </c>
      <c r="B220" t="s">
        <v>34</v>
      </c>
      <c r="C220" s="2">
        <v>43963.812534722223</v>
      </c>
      <c r="D220">
        <v>530</v>
      </c>
      <c r="E220">
        <v>4200</v>
      </c>
      <c r="F220">
        <f t="shared" si="12"/>
        <v>0.12619047619047619</v>
      </c>
      <c r="G220">
        <f t="shared" si="13"/>
        <v>0.74106646825384814</v>
      </c>
      <c r="H220">
        <f t="shared" si="14"/>
        <v>0.11098282371001358</v>
      </c>
    </row>
    <row r="221" spans="1:8" x14ac:dyDescent="0.25">
      <c r="A221">
        <v>2400508</v>
      </c>
      <c r="B221" t="s">
        <v>34</v>
      </c>
      <c r="C221" s="2">
        <v>43965.337719907409</v>
      </c>
      <c r="D221">
        <v>521</v>
      </c>
      <c r="E221">
        <v>900</v>
      </c>
      <c r="F221">
        <f t="shared" si="12"/>
        <v>0.5788888888888889</v>
      </c>
      <c r="G221">
        <f t="shared" si="13"/>
        <v>0.5231828703700947</v>
      </c>
      <c r="H221">
        <f t="shared" si="14"/>
        <v>0.52871517987758188</v>
      </c>
    </row>
    <row r="222" spans="1:8" x14ac:dyDescent="0.25">
      <c r="A222">
        <v>5200303</v>
      </c>
      <c r="B222" t="s">
        <v>39</v>
      </c>
      <c r="C222" s="2">
        <v>43899.225347222222</v>
      </c>
      <c r="D222">
        <v>3703</v>
      </c>
      <c r="E222">
        <v>5400</v>
      </c>
      <c r="F222">
        <f t="shared" si="12"/>
        <v>0.68574074074074076</v>
      </c>
      <c r="G222">
        <f t="shared" si="13"/>
        <v>9.9678075396825854</v>
      </c>
      <c r="H222">
        <f t="shared" si="14"/>
        <v>0.12190111755169872</v>
      </c>
    </row>
    <row r="223" spans="1:8" x14ac:dyDescent="0.25">
      <c r="A223">
        <v>5200303</v>
      </c>
      <c r="B223" t="s">
        <v>39</v>
      </c>
      <c r="C223" s="2">
        <v>43899.917615740742</v>
      </c>
      <c r="D223">
        <v>82</v>
      </c>
      <c r="E223">
        <v>6300</v>
      </c>
      <c r="F223">
        <f t="shared" si="12"/>
        <v>1.3015873015873015E-2</v>
      </c>
      <c r="G223">
        <f t="shared" si="13"/>
        <v>9.868912037036873</v>
      </c>
      <c r="H223">
        <f t="shared" si="14"/>
        <v>2.3537680638318638E-3</v>
      </c>
    </row>
    <row r="224" spans="1:8" x14ac:dyDescent="0.25">
      <c r="A224">
        <v>5200303</v>
      </c>
      <c r="B224" t="s">
        <v>39</v>
      </c>
      <c r="C224" s="2">
        <v>43906.936006944437</v>
      </c>
      <c r="D224">
        <v>1193</v>
      </c>
      <c r="E224">
        <v>6300</v>
      </c>
      <c r="F224">
        <f t="shared" si="12"/>
        <v>0.18936507936507938</v>
      </c>
      <c r="G224">
        <f t="shared" si="13"/>
        <v>8.8662847222232291</v>
      </c>
      <c r="H224">
        <f t="shared" si="14"/>
        <v>4.0742294280218173E-2</v>
      </c>
    </row>
    <row r="225" spans="1:8" x14ac:dyDescent="0.25">
      <c r="A225">
        <v>5200303</v>
      </c>
      <c r="B225" t="s">
        <v>39</v>
      </c>
      <c r="C225" s="2">
        <v>43907.25072916667</v>
      </c>
      <c r="D225">
        <v>2891</v>
      </c>
      <c r="E225">
        <v>5700</v>
      </c>
      <c r="F225">
        <f t="shared" si="12"/>
        <v>0.50719298245614031</v>
      </c>
      <c r="G225">
        <f t="shared" si="13"/>
        <v>8.8213244047614605</v>
      </c>
      <c r="H225">
        <f t="shared" si="14"/>
        <v>0.10997714067868797</v>
      </c>
    </row>
    <row r="226" spans="1:8" x14ac:dyDescent="0.25">
      <c r="A226">
        <v>5200303</v>
      </c>
      <c r="B226" t="s">
        <v>39</v>
      </c>
      <c r="C226" s="2">
        <v>43908.249247685177</v>
      </c>
      <c r="D226">
        <v>3243</v>
      </c>
      <c r="E226">
        <v>5700</v>
      </c>
      <c r="F226">
        <f t="shared" si="12"/>
        <v>0.56894736842105265</v>
      </c>
      <c r="G226">
        <f t="shared" si="13"/>
        <v>8.6786789021176194</v>
      </c>
      <c r="H226">
        <f t="shared" si="14"/>
        <v>0.12645512200572948</v>
      </c>
    </row>
    <row r="227" spans="1:8" x14ac:dyDescent="0.25">
      <c r="A227">
        <v>5200303</v>
      </c>
      <c r="B227" t="s">
        <v>39</v>
      </c>
      <c r="C227" s="2">
        <v>43910.229259259257</v>
      </c>
      <c r="D227">
        <v>2493</v>
      </c>
      <c r="E227">
        <v>5700</v>
      </c>
      <c r="F227">
        <f t="shared" si="12"/>
        <v>0.43736842105263157</v>
      </c>
      <c r="G227">
        <f t="shared" si="13"/>
        <v>8.3958201058204782</v>
      </c>
      <c r="H227">
        <f t="shared" si="14"/>
        <v>0.10209371336593273</v>
      </c>
    </row>
    <row r="228" spans="1:8" x14ac:dyDescent="0.25">
      <c r="A228">
        <v>5200303</v>
      </c>
      <c r="B228" t="s">
        <v>39</v>
      </c>
      <c r="C228" s="2">
        <v>43914.230810185189</v>
      </c>
      <c r="D228">
        <v>626</v>
      </c>
      <c r="E228">
        <v>5400</v>
      </c>
      <c r="F228">
        <f t="shared" si="12"/>
        <v>0.11592592592592593</v>
      </c>
      <c r="G228">
        <f t="shared" si="13"/>
        <v>7.8241699735444854</v>
      </c>
      <c r="H228">
        <f t="shared" si="14"/>
        <v>2.9878109191254023E-2</v>
      </c>
    </row>
    <row r="229" spans="1:8" x14ac:dyDescent="0.25">
      <c r="A229">
        <v>5200303</v>
      </c>
      <c r="B229" t="s">
        <v>39</v>
      </c>
      <c r="C229" s="2">
        <v>43914.914340277777</v>
      </c>
      <c r="D229">
        <v>278</v>
      </c>
      <c r="E229">
        <v>6300</v>
      </c>
      <c r="F229">
        <f t="shared" si="12"/>
        <v>4.4126984126984126E-2</v>
      </c>
      <c r="G229">
        <f t="shared" si="13"/>
        <v>7.7265228174603964</v>
      </c>
      <c r="H229">
        <f t="shared" si="14"/>
        <v>1.1567125934850335E-2</v>
      </c>
    </row>
    <row r="230" spans="1:8" x14ac:dyDescent="0.25">
      <c r="A230">
        <v>5200303</v>
      </c>
      <c r="B230" t="s">
        <v>39</v>
      </c>
      <c r="C230" s="2">
        <v>43916.913726851853</v>
      </c>
      <c r="D230">
        <v>1605</v>
      </c>
      <c r="E230">
        <v>6300</v>
      </c>
      <c r="F230">
        <f t="shared" si="12"/>
        <v>0.25476190476190474</v>
      </c>
      <c r="G230">
        <f t="shared" si="13"/>
        <v>7.4408961640209395</v>
      </c>
      <c r="H230">
        <f t="shared" si="14"/>
        <v>7.0169963769120991E-2</v>
      </c>
    </row>
    <row r="231" spans="1:8" x14ac:dyDescent="0.25">
      <c r="A231">
        <v>5200303</v>
      </c>
      <c r="B231" t="s">
        <v>39</v>
      </c>
      <c r="C231" s="2">
        <v>43922.925717592603</v>
      </c>
      <c r="D231">
        <v>1121</v>
      </c>
      <c r="E231">
        <v>6600</v>
      </c>
      <c r="F231">
        <f t="shared" si="12"/>
        <v>0.16984848484848486</v>
      </c>
      <c r="G231">
        <f t="shared" si="13"/>
        <v>6.5820403439138317</v>
      </c>
      <c r="H231">
        <f t="shared" si="14"/>
        <v>5.4289242629570446E-2</v>
      </c>
    </row>
    <row r="232" spans="1:8" x14ac:dyDescent="0.25">
      <c r="A232">
        <v>5200303</v>
      </c>
      <c r="B232" t="s">
        <v>39</v>
      </c>
      <c r="C232" s="2">
        <v>43927.933321759258</v>
      </c>
      <c r="D232">
        <v>96</v>
      </c>
      <c r="E232">
        <v>6600</v>
      </c>
      <c r="F232">
        <f t="shared" si="12"/>
        <v>1.4545454545454545E-2</v>
      </c>
      <c r="G232">
        <f t="shared" si="13"/>
        <v>5.8666683201060676</v>
      </c>
      <c r="H232">
        <f t="shared" si="14"/>
        <v>5.2627957191636069E-3</v>
      </c>
    </row>
    <row r="233" spans="1:8" x14ac:dyDescent="0.25">
      <c r="A233">
        <v>5200303</v>
      </c>
      <c r="B233" t="s">
        <v>39</v>
      </c>
      <c r="C233" s="2">
        <v>43931.94363425926</v>
      </c>
      <c r="D233">
        <v>206</v>
      </c>
      <c r="E233">
        <v>6300</v>
      </c>
      <c r="F233">
        <f t="shared" si="12"/>
        <v>3.2698412698412699E-2</v>
      </c>
      <c r="G233">
        <f t="shared" si="13"/>
        <v>5.29376653439145</v>
      </c>
      <c r="H233">
        <f t="shared" si="14"/>
        <v>1.3065650646087038E-2</v>
      </c>
    </row>
    <row r="234" spans="1:8" x14ac:dyDescent="0.25">
      <c r="A234">
        <v>5200303</v>
      </c>
      <c r="B234" t="s">
        <v>39</v>
      </c>
      <c r="C234" s="2">
        <v>43935.245949074073</v>
      </c>
      <c r="D234">
        <v>3458</v>
      </c>
      <c r="E234">
        <v>5400</v>
      </c>
      <c r="F234">
        <f t="shared" si="12"/>
        <v>0.64037037037037037</v>
      </c>
      <c r="G234">
        <f t="shared" si="13"/>
        <v>4.822007275132429</v>
      </c>
      <c r="H234">
        <f t="shared" si="14"/>
        <v>0.27767643302062589</v>
      </c>
    </row>
    <row r="235" spans="1:8" x14ac:dyDescent="0.25">
      <c r="A235">
        <v>5200303</v>
      </c>
      <c r="B235" t="s">
        <v>39</v>
      </c>
      <c r="C235" s="2">
        <v>43937.288622685177</v>
      </c>
      <c r="D235">
        <v>177</v>
      </c>
      <c r="E235">
        <v>5400</v>
      </c>
      <c r="F235">
        <f t="shared" si="12"/>
        <v>3.2777777777777781E-2</v>
      </c>
      <c r="G235">
        <f t="shared" si="13"/>
        <v>4.5301967592604342</v>
      </c>
      <c r="H235">
        <f t="shared" si="14"/>
        <v>1.4950242212908717E-2</v>
      </c>
    </row>
    <row r="236" spans="1:8" x14ac:dyDescent="0.25">
      <c r="A236">
        <v>5200303</v>
      </c>
      <c r="B236" t="s">
        <v>39</v>
      </c>
      <c r="C236" s="2">
        <v>43943.279756944437</v>
      </c>
      <c r="D236">
        <v>791</v>
      </c>
      <c r="E236">
        <v>5700</v>
      </c>
      <c r="F236">
        <f t="shared" si="12"/>
        <v>0.13877192982456141</v>
      </c>
      <c r="G236">
        <f t="shared" si="13"/>
        <v>3.6743204365089435</v>
      </c>
      <c r="H236">
        <f t="shared" si="14"/>
        <v>7.3414435128975164E-2</v>
      </c>
    </row>
    <row r="237" spans="1:8" x14ac:dyDescent="0.25">
      <c r="A237">
        <v>5200303</v>
      </c>
      <c r="B237" t="s">
        <v>39</v>
      </c>
      <c r="C237" s="2">
        <v>43943.985289351847</v>
      </c>
      <c r="D237">
        <v>458</v>
      </c>
      <c r="E237">
        <v>6000</v>
      </c>
      <c r="F237">
        <f t="shared" si="12"/>
        <v>7.6333333333333336E-2</v>
      </c>
      <c r="G237">
        <f t="shared" si="13"/>
        <v>3.5735300925932409</v>
      </c>
      <c r="H237">
        <f t="shared" si="14"/>
        <v>4.109408269602665E-2</v>
      </c>
    </row>
    <row r="238" spans="1:8" x14ac:dyDescent="0.25">
      <c r="A238">
        <v>5200303</v>
      </c>
      <c r="B238" t="s">
        <v>39</v>
      </c>
      <c r="C238" s="2">
        <v>43949.23578703704</v>
      </c>
      <c r="D238">
        <v>3449</v>
      </c>
      <c r="E238">
        <v>5700</v>
      </c>
      <c r="F238">
        <f t="shared" si="12"/>
        <v>0.60508771929824556</v>
      </c>
      <c r="G238">
        <f t="shared" si="13"/>
        <v>2.8234589947086142</v>
      </c>
      <c r="H238">
        <f t="shared" si="14"/>
        <v>0.37096409453473922</v>
      </c>
    </row>
    <row r="239" spans="1:8" x14ac:dyDescent="0.25">
      <c r="A239">
        <v>5200303</v>
      </c>
      <c r="B239" t="s">
        <v>39</v>
      </c>
      <c r="C239" s="2">
        <v>43952.229097222233</v>
      </c>
      <c r="D239">
        <v>4412</v>
      </c>
      <c r="E239">
        <v>5100</v>
      </c>
      <c r="F239">
        <f t="shared" si="12"/>
        <v>0.86509803921568629</v>
      </c>
      <c r="G239">
        <f t="shared" si="13"/>
        <v>2.395843253966762</v>
      </c>
      <c r="H239">
        <f t="shared" si="14"/>
        <v>0.57116311908092721</v>
      </c>
    </row>
    <row r="240" spans="1:8" x14ac:dyDescent="0.25">
      <c r="A240">
        <v>5200303</v>
      </c>
      <c r="B240" t="s">
        <v>39</v>
      </c>
      <c r="C240" s="2">
        <v>43958.254849537043</v>
      </c>
      <c r="D240">
        <v>1584</v>
      </c>
      <c r="E240">
        <v>5400</v>
      </c>
      <c r="F240">
        <f t="shared" si="12"/>
        <v>0.29333333333333333</v>
      </c>
      <c r="G240">
        <f t="shared" si="13"/>
        <v>1.5350214947081571</v>
      </c>
      <c r="H240">
        <f t="shared" si="14"/>
        <v>0.22482237894126245</v>
      </c>
    </row>
    <row r="241" spans="1:8" x14ac:dyDescent="0.25">
      <c r="A241">
        <v>5200303</v>
      </c>
      <c r="B241" t="s">
        <v>39</v>
      </c>
      <c r="C241" s="2">
        <v>43958.973749999997</v>
      </c>
      <c r="D241">
        <v>1289</v>
      </c>
      <c r="E241">
        <v>6300</v>
      </c>
      <c r="F241">
        <f t="shared" si="12"/>
        <v>0.20460317460317459</v>
      </c>
      <c r="G241">
        <f t="shared" si="13"/>
        <v>1.4323214285718027</v>
      </c>
      <c r="H241">
        <f t="shared" si="14"/>
        <v>0.15963181058126238</v>
      </c>
    </row>
    <row r="242" spans="1:8" x14ac:dyDescent="0.25">
      <c r="A242">
        <v>5200303</v>
      </c>
      <c r="B242" t="s">
        <v>39</v>
      </c>
      <c r="C242" s="2">
        <v>43964.258067129631</v>
      </c>
      <c r="D242">
        <v>1279</v>
      </c>
      <c r="E242">
        <v>5400</v>
      </c>
      <c r="F242">
        <f t="shared" si="12"/>
        <v>0.23685185185185184</v>
      </c>
      <c r="G242">
        <f t="shared" si="13"/>
        <v>0.67741898148129365</v>
      </c>
      <c r="H242">
        <f t="shared" si="14"/>
        <v>0.21061821432661629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raw_join_example</vt:lpstr>
      <vt:lpstr>val_airings</vt:lpstr>
      <vt:lpstr>AP@5</vt:lpstr>
      <vt:lpstr>h1_score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2026-10-25T10:57:39Z</dcterms:created>
  <dcterms:modified xsi:type="dcterms:W3CDTF">2026-10-25T13:13:59Z</dcterms:modified>
</cp:coreProperties>
</file>