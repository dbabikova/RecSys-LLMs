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w_join_example" sheetId="1" state="visible" r:id="rId3"/>
    <sheet name="val_airings" sheetId="2" state="visible" r:id="rId4"/>
    <sheet name="AP@5" sheetId="3" state="visible" r:id="rId5"/>
    <sheet name="h1_sco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<sst xmlns="http://schemas.openxmlformats.org/spreadsheetml/2006/main" count="717" uniqueCount="347">
  <si>
    <t xml:space="preserve">Step 1: one airing of "Fakty. Den" (tv_show_id 240081) from export_arh_21-30-final.csv</t>
  </si>
  <si>
    <t xml:space="preserve">channel_id</t>
  </si>
  <si>
    <t xml:space="preserve">start_time</t>
  </si>
  <si>
    <t xml:space="preserve">duration_s</t>
  </si>
  <si>
    <t xml:space="preserve">end (formula)</t>
  </si>
  <si>
    <t xml:space="preserve">Step 2: this user's views on the same channel (vsetv_id) from dataset11-30.csv that overlap it (view length capped at 4 h)</t>
  </si>
  <si>
    <t xml:space="preserve">user_id</t>
  </si>
  <si>
    <t xml:space="preserve">vsetv_id</t>
  </si>
  <si>
    <t xml:space="preserve">stop_time</t>
  </si>
  <si>
    <t xml:space="preserve">overlap_s (formula)</t>
  </si>
  <si>
    <t xml:space="preserve">4949222956972288366</t>
  </si>
  <si>
    <t xml:space="preserve">overlap total, s</t>
  </si>
  <si>
    <t xml:space="preserve">pct = overlap / duration</t>
  </si>
  <si>
    <t xml:space="preserve">expected in val_airings sheet:</t>
  </si>
  <si>
    <t xml:space="preserve">Find these rows yourself in the raw CSV files (Ctrl+F by user_id / start time) to confirm them.</t>
  </si>
  <si>
    <t xml:space="preserve">tv_show_id</t>
  </si>
  <si>
    <t xml:space="preserve">title</t>
  </si>
  <si>
    <t xml:space="preserve">channel</t>
  </si>
  <si>
    <t xml:space="preserve">air_start</t>
  </si>
  <si>
    <t xml:space="preserve">overlap_s</t>
  </si>
  <si>
    <t xml:space="preserve">pct</t>
  </si>
  <si>
    <t xml:space="preserve">pct&gt;=0.8</t>
  </si>
  <si>
    <t xml:space="preserve">Х/ф 'Вне правил'.</t>
  </si>
  <si>
    <t xml:space="preserve">2020-05-18 04:15:00</t>
  </si>
  <si>
    <t xml:space="preserve">Х/ф 'Если б я была мужчиной'.</t>
  </si>
  <si>
    <t xml:space="preserve">2020-05-18 04:25:00</t>
  </si>
  <si>
    <t xml:space="preserve">Звездный путь.</t>
  </si>
  <si>
    <t xml:space="preserve">2020-05-18 09:30:00</t>
  </si>
  <si>
    <t xml:space="preserve">Х/ф 'Призрачный гонщик'.</t>
  </si>
  <si>
    <t xml:space="preserve">2020-05-18 16:50:00</t>
  </si>
  <si>
    <t xml:space="preserve">'Викна-Новости'.</t>
  </si>
  <si>
    <t xml:space="preserve">2020-05-18 17:30:00</t>
  </si>
  <si>
    <t xml:space="preserve">Факты. День.</t>
  </si>
  <si>
    <t xml:space="preserve">2020-05-18 18:45:00</t>
  </si>
  <si>
    <t xml:space="preserve">Сегодня. Итоги с Олегом Панютой.</t>
  </si>
  <si>
    <t xml:space="preserve">2020-05-18 19:00:00</t>
  </si>
  <si>
    <t xml:space="preserve">'Вещдок'.</t>
  </si>
  <si>
    <t xml:space="preserve">2020-05-18 21:00:00</t>
  </si>
  <si>
    <t xml:space="preserve">Х/ф 'Кактус'.</t>
  </si>
  <si>
    <t xml:space="preserve">'Следствие вели...' с Леонидом Каневским.</t>
  </si>
  <si>
    <t xml:space="preserve">2020-05-18 22:05:00</t>
  </si>
  <si>
    <t xml:space="preserve">Х/ф 'Облачный атлас'.</t>
  </si>
  <si>
    <t xml:space="preserve">2020-05-19 03:10:00</t>
  </si>
  <si>
    <t xml:space="preserve">М/с 'Охотники за привидениями', 40 с.</t>
  </si>
  <si>
    <t xml:space="preserve">2020-05-19 06:00:00</t>
  </si>
  <si>
    <t xml:space="preserve">2020-05-19 08:00:00</t>
  </si>
  <si>
    <t xml:space="preserve">Утро с Украиной.</t>
  </si>
  <si>
    <t xml:space="preserve">2020-05-19 08:15:00</t>
  </si>
  <si>
    <t xml:space="preserve">2020-05-19 09:30:00</t>
  </si>
  <si>
    <t xml:space="preserve">'Реальная мистика'.</t>
  </si>
  <si>
    <t xml:space="preserve">2020-05-19 10:30:00</t>
  </si>
  <si>
    <t xml:space="preserve">2020-05-19 13:50:00</t>
  </si>
  <si>
    <t xml:space="preserve">2020-05-19 16:35:00</t>
  </si>
  <si>
    <t xml:space="preserve">Х/ф 'Незнайка с нашего двора'.</t>
  </si>
  <si>
    <t xml:space="preserve">2020-05-20 05:00:00</t>
  </si>
  <si>
    <t xml:space="preserve">Гражданская оборона.</t>
  </si>
  <si>
    <t xml:space="preserve">2020-05-20 05:40:00</t>
  </si>
  <si>
    <t xml:space="preserve">Х/ф 'Челюсти'.</t>
  </si>
  <si>
    <t xml:space="preserve">2020-05-20 06:15:00</t>
  </si>
  <si>
    <t xml:space="preserve">ТСН. Спецпроект.</t>
  </si>
  <si>
    <t xml:space="preserve">2020-05-20 19:30:00</t>
  </si>
  <si>
    <t xml:space="preserve">2020-05-21 05:40:00</t>
  </si>
  <si>
    <t xml:space="preserve">'Мамахохотала-шоу'. Лучшее.</t>
  </si>
  <si>
    <t xml:space="preserve">2020-05-21 05:50:00</t>
  </si>
  <si>
    <t xml:space="preserve">2020-05-21 18:45:00</t>
  </si>
  <si>
    <t xml:space="preserve">2020-05-21 19:00:00</t>
  </si>
  <si>
    <t xml:space="preserve">2020-05-21 19:30:00</t>
  </si>
  <si>
    <t xml:space="preserve">2020-05-22 05:25:00</t>
  </si>
  <si>
    <t xml:space="preserve">2020-05-22 05:40:00</t>
  </si>
  <si>
    <t xml:space="preserve">2020-05-22 08:45:00</t>
  </si>
  <si>
    <t xml:space="preserve">2020-05-22 09:00:00</t>
  </si>
  <si>
    <t xml:space="preserve">М/ф 'Шрэк 2'.</t>
  </si>
  <si>
    <t xml:space="preserve">2020-05-23 06:35:00</t>
  </si>
  <si>
    <t xml:space="preserve">Т/с 'Когда мы дома'.</t>
  </si>
  <si>
    <t xml:space="preserve">2020-05-23 06:45:00</t>
  </si>
  <si>
    <t xml:space="preserve">Х/ф 'Песнь древа'.</t>
  </si>
  <si>
    <t xml:space="preserve">2020-05-23 07:10:00</t>
  </si>
  <si>
    <t xml:space="preserve">М/ф 'Рататуй'.</t>
  </si>
  <si>
    <t xml:space="preserve">2020-05-23 19:00:00</t>
  </si>
  <si>
    <t xml:space="preserve">Х/ф 'Полтора шпиона'.</t>
  </si>
  <si>
    <t xml:space="preserve">2020-05-24 16:50:00</t>
  </si>
  <si>
    <t xml:space="preserve">Х/ф 'Быстрые девушки'.</t>
  </si>
  <si>
    <t xml:space="preserve">2020-05-24 17:50:00</t>
  </si>
  <si>
    <t xml:space="preserve">2020-05-24 19:00:00</t>
  </si>
  <si>
    <t xml:space="preserve">2020-05-24 19:30:00</t>
  </si>
  <si>
    <t xml:space="preserve">Х/ф 'Паразиты'.</t>
  </si>
  <si>
    <t xml:space="preserve">2020-05-24 20:30:00</t>
  </si>
  <si>
    <t xml:space="preserve">Премера. Х/ф 'Путешествие 2: Таинственный остров'.</t>
  </si>
  <si>
    <t xml:space="preserve">2020-05-24 20:35:00</t>
  </si>
  <si>
    <t xml:space="preserve">2020-05-25 05:30:00</t>
  </si>
  <si>
    <t xml:space="preserve">2020-05-25 06:00:00</t>
  </si>
  <si>
    <t xml:space="preserve">2020-05-25 06:30:00</t>
  </si>
  <si>
    <t xml:space="preserve">'Завтрак с 1+1'. Информационно-развлекательная программа.</t>
  </si>
  <si>
    <t xml:space="preserve">2020-05-25 08:10:00</t>
  </si>
  <si>
    <t xml:space="preserve">2020-05-26 08:00:00</t>
  </si>
  <si>
    <t xml:space="preserve">2020-05-26 08:15:00</t>
  </si>
  <si>
    <t xml:space="preserve">2020-05-26 08:45:00</t>
  </si>
  <si>
    <t xml:space="preserve">Х/ф 'Еще один год'.</t>
  </si>
  <si>
    <t xml:space="preserve">2020-05-26 17:25:00</t>
  </si>
  <si>
    <t xml:space="preserve">2020-05-27 13:50:00</t>
  </si>
  <si>
    <t xml:space="preserve">2020-05-27 16:35:00</t>
  </si>
  <si>
    <t xml:space="preserve">2020-05-27 17:30:00</t>
  </si>
  <si>
    <t xml:space="preserve">2020-05-27 18:45:00</t>
  </si>
  <si>
    <t xml:space="preserve">2020-05-27 19:00:00</t>
  </si>
  <si>
    <t xml:space="preserve">2020-05-28 05:25:00</t>
  </si>
  <si>
    <t xml:space="preserve">2020-05-28 06:45:00</t>
  </si>
  <si>
    <t xml:space="preserve">Х/ф 'Лев'.</t>
  </si>
  <si>
    <t xml:space="preserve">2020-05-28 19:00:00</t>
  </si>
  <si>
    <t xml:space="preserve">Х/ф 'Часы с кукушкой', 1-4 с.</t>
  </si>
  <si>
    <t xml:space="preserve">2020-05-29 15:30:00</t>
  </si>
  <si>
    <t xml:space="preserve">Х/ф 'Убить Билла'.</t>
  </si>
  <si>
    <t xml:space="preserve">2020-05-29 21:00:00</t>
  </si>
  <si>
    <t xml:space="preserve">2020-05-30 19:00:00</t>
  </si>
  <si>
    <t xml:space="preserve">Главная тема.</t>
  </si>
  <si>
    <t xml:space="preserve">2020-05-30 20:00:00</t>
  </si>
  <si>
    <t xml:space="preserve">2020-05-31 07:30:00</t>
  </si>
  <si>
    <t xml:space="preserve">'Завтрак. Выходной'.</t>
  </si>
  <si>
    <t xml:space="preserve">2020-05-31 08:00:00</t>
  </si>
  <si>
    <t xml:space="preserve">Х/ф 'Предатель'.</t>
  </si>
  <si>
    <t xml:space="preserve">2020-05-31 08:55:00</t>
  </si>
  <si>
    <t xml:space="preserve">2020-05-31 19:30:00</t>
  </si>
  <si>
    <t xml:space="preserve">'Мир наизнанку'.</t>
  </si>
  <si>
    <t xml:space="preserve">2020-06-01 02:50:00</t>
  </si>
  <si>
    <t xml:space="preserve">2020-06-01 05:00:00</t>
  </si>
  <si>
    <t xml:space="preserve">2020-06-02 13:50:00</t>
  </si>
  <si>
    <t xml:space="preserve">2020-06-02 16:35:00</t>
  </si>
  <si>
    <t xml:space="preserve">Х/ф 'Хищники'.</t>
  </si>
  <si>
    <t xml:space="preserve">2020-06-02 16:50:00</t>
  </si>
  <si>
    <t xml:space="preserve">2020-06-02 17:30:00</t>
  </si>
  <si>
    <t xml:space="preserve">2020-06-02 18:45:00</t>
  </si>
  <si>
    <t xml:space="preserve">2020-06-02 20:20:00</t>
  </si>
  <si>
    <t xml:space="preserve">2020-06-03 05:30:00</t>
  </si>
  <si>
    <t xml:space="preserve">2020-06-03 08:45:00</t>
  </si>
  <si>
    <t xml:space="preserve">2020-06-04 22:00:00</t>
  </si>
  <si>
    <t xml:space="preserve">Т/с 'Позднее раскаяние', 16 с.</t>
  </si>
  <si>
    <t xml:space="preserve">2020-06-04 23:00:00</t>
  </si>
  <si>
    <t xml:space="preserve">Х/ф 'Маленькие женщины'.</t>
  </si>
  <si>
    <t xml:space="preserve">2020-06-05 04:00:00</t>
  </si>
  <si>
    <t xml:space="preserve">2020-06-05 18:45:00</t>
  </si>
  <si>
    <t xml:space="preserve">Х/ф 'Прости, хочу на тебе жениться'.</t>
  </si>
  <si>
    <t xml:space="preserve">2020-06-08 07:05:00</t>
  </si>
  <si>
    <t xml:space="preserve">Х/ф 'Волшебная страна'.</t>
  </si>
  <si>
    <t xml:space="preserve">2020-06-08 08:10:00</t>
  </si>
  <si>
    <t xml:space="preserve">Х/ф 'Гостья'.</t>
  </si>
  <si>
    <t xml:space="preserve">2020-06-08 18:55:00</t>
  </si>
  <si>
    <t xml:space="preserve">Х/ф 'Зелёный Шершень'.</t>
  </si>
  <si>
    <t xml:space="preserve">2020-06-09 04:05:00</t>
  </si>
  <si>
    <t xml:space="preserve">Х/ф 'Леди в фургоне'.</t>
  </si>
  <si>
    <t xml:space="preserve">2020-06-09 04:15:00</t>
  </si>
  <si>
    <t xml:space="preserve">2020-06-10 06:45:00</t>
  </si>
  <si>
    <t xml:space="preserve">2020-06-10 07:15:00</t>
  </si>
  <si>
    <t xml:space="preserve">2020-06-10 07:45:00</t>
  </si>
  <si>
    <t xml:space="preserve">2020-06-10 08:00:00</t>
  </si>
  <si>
    <t xml:space="preserve">2020-06-10 08:15:00</t>
  </si>
  <si>
    <t xml:space="preserve">2020-06-10 13:50:00</t>
  </si>
  <si>
    <t xml:space="preserve">2020-06-11 13:50:00</t>
  </si>
  <si>
    <t xml:space="preserve">2020-06-11 14:30:00</t>
  </si>
  <si>
    <t xml:space="preserve">2020-06-11 16:35:00</t>
  </si>
  <si>
    <t xml:space="preserve">Х/ф 'Воздушный маршал'.</t>
  </si>
  <si>
    <t xml:space="preserve">2020-06-11 16:50:00</t>
  </si>
  <si>
    <t xml:space="preserve">2020-06-11 17:30:00</t>
  </si>
  <si>
    <t xml:space="preserve">2020-06-11 18:45:00</t>
  </si>
  <si>
    <t xml:space="preserve">Ток-шоу 'Говорит Украина'.</t>
  </si>
  <si>
    <t xml:space="preserve">2020-06-11 20:10:00</t>
  </si>
  <si>
    <t xml:space="preserve">'Право на власть'.</t>
  </si>
  <si>
    <t xml:space="preserve">2020-06-11 21:45:00</t>
  </si>
  <si>
    <t xml:space="preserve">Х/ф 'Обитель зла 3'.</t>
  </si>
  <si>
    <t xml:space="preserve">2020-06-11 22:40:00</t>
  </si>
  <si>
    <t xml:space="preserve">2020-06-12 05:25:00</t>
  </si>
  <si>
    <t xml:space="preserve">2020-06-12 06:30:00</t>
  </si>
  <si>
    <t xml:space="preserve">2020-06-12 07:10:00</t>
  </si>
  <si>
    <t xml:space="preserve">2020-06-12 08:00:00</t>
  </si>
  <si>
    <t xml:space="preserve">2020-06-12 08:15:00</t>
  </si>
  <si>
    <t xml:space="preserve">Х/ф 'Управление гневом'.</t>
  </si>
  <si>
    <t xml:space="preserve">2020-06-13 17:45:00</t>
  </si>
  <si>
    <t xml:space="preserve">Х/ф 'Большие глаза'.</t>
  </si>
  <si>
    <t xml:space="preserve">2020-06-14 07:05:00</t>
  </si>
  <si>
    <t xml:space="preserve">Х/ф 'Зелёная книга'.</t>
  </si>
  <si>
    <t xml:space="preserve">2020-06-14 20:30:00</t>
  </si>
  <si>
    <t xml:space="preserve">Х/ф 'Городской романс'.</t>
  </si>
  <si>
    <t xml:space="preserve">2020-06-15 05:35:00</t>
  </si>
  <si>
    <t xml:space="preserve">Х/ф 'Ожидая груз на рейде Фучжоу возле пагоды'.</t>
  </si>
  <si>
    <t xml:space="preserve">2020-06-16 05:00:00</t>
  </si>
  <si>
    <t xml:space="preserve">2020-06-16 05:25:00</t>
  </si>
  <si>
    <t xml:space="preserve">Х/ф 'Пышка'.</t>
  </si>
  <si>
    <t xml:space="preserve">2020-06-16 05:50:00</t>
  </si>
  <si>
    <t xml:space="preserve">2020-06-16 07:45:00</t>
  </si>
  <si>
    <t xml:space="preserve">2020-06-17 13:50:00</t>
  </si>
  <si>
    <t xml:space="preserve">2020-06-17 16:35:00</t>
  </si>
  <si>
    <t xml:space="preserve">2020-06-17 16:45:00</t>
  </si>
  <si>
    <t xml:space="preserve">2020-06-17 17:30:00</t>
  </si>
  <si>
    <t xml:space="preserve">2020-06-17 18:45:00</t>
  </si>
  <si>
    <t xml:space="preserve">2020-06-17 19:30:00</t>
  </si>
  <si>
    <t xml:space="preserve">Х/ф 'Герой'.</t>
  </si>
  <si>
    <t xml:space="preserve">2020-06-17 21:00:00</t>
  </si>
  <si>
    <t xml:space="preserve">2020-06-17 21:10:00</t>
  </si>
  <si>
    <t xml:space="preserve">Х/ф 'Одноклассники'.</t>
  </si>
  <si>
    <t xml:space="preserve">2020-06-18 04:20:00</t>
  </si>
  <si>
    <t xml:space="preserve">2020-06-18 05:25:00</t>
  </si>
  <si>
    <t xml:space="preserve">Х/ф 'Примадонна'.</t>
  </si>
  <si>
    <t xml:space="preserve">2020-06-18 05:55:00</t>
  </si>
  <si>
    <t xml:space="preserve">2020-06-18 06:00:00</t>
  </si>
  <si>
    <t xml:space="preserve">2020-06-18 19:30:00</t>
  </si>
  <si>
    <t xml:space="preserve">Х/ф 'Чего хотят женщины'.</t>
  </si>
  <si>
    <t xml:space="preserve">2020-06-19 17:25:00</t>
  </si>
  <si>
    <t xml:space="preserve">Х/ф 'Ночной патруль'.</t>
  </si>
  <si>
    <t xml:space="preserve">2020-06-20 05:45:00</t>
  </si>
  <si>
    <t xml:space="preserve">2020-06-20 06:00:00</t>
  </si>
  <si>
    <t xml:space="preserve">2020-06-20 10:00:00</t>
  </si>
  <si>
    <t xml:space="preserve">Х/ф 'Ронин'.</t>
  </si>
  <si>
    <t xml:space="preserve">2020-06-20 11:50:00</t>
  </si>
  <si>
    <t xml:space="preserve">Х/ф 'Безбашенные'.</t>
  </si>
  <si>
    <t xml:space="preserve">2020-06-20 12:05:00</t>
  </si>
  <si>
    <t xml:space="preserve">2020-06-20 15:00:00</t>
  </si>
  <si>
    <t xml:space="preserve">2020-06-20 16:00:00</t>
  </si>
  <si>
    <t xml:space="preserve">2020-06-20 17:25:00</t>
  </si>
  <si>
    <t xml:space="preserve">2020-06-20 18:45:00</t>
  </si>
  <si>
    <t xml:space="preserve">2020-06-20 19:00:00</t>
  </si>
  <si>
    <t xml:space="preserve">Х/ф 'Хроники Риддика'.</t>
  </si>
  <si>
    <t xml:space="preserve">2020-06-20 19:10:00</t>
  </si>
  <si>
    <t xml:space="preserve">Х/ф 'Мальчикам это нравится'.</t>
  </si>
  <si>
    <t xml:space="preserve">2020-06-20 19:25:00</t>
  </si>
  <si>
    <t xml:space="preserve">2020-06-20 19:30:00</t>
  </si>
  <si>
    <t xml:space="preserve">2020-06-20 20:00:00</t>
  </si>
  <si>
    <t xml:space="preserve">'Вечерний квартал'.</t>
  </si>
  <si>
    <t xml:space="preserve">2020-06-20 20:15:00</t>
  </si>
  <si>
    <t xml:space="preserve">Х/ф 'Призрачный патруль'.</t>
  </si>
  <si>
    <t xml:space="preserve">2020-06-21 16:55:00</t>
  </si>
  <si>
    <t xml:space="preserve">Х/ф 'Молчи в тряпочку'.</t>
  </si>
  <si>
    <t xml:space="preserve">2020-06-21 17:35:00</t>
  </si>
  <si>
    <t xml:space="preserve">Х/ф 'Дюплекс'.</t>
  </si>
  <si>
    <t xml:space="preserve">2020-06-21 17:50:00</t>
  </si>
  <si>
    <t xml:space="preserve">Х/ф 'Дневник горничной'.</t>
  </si>
  <si>
    <t xml:space="preserve">Х/ф 'Земля будущего'.</t>
  </si>
  <si>
    <t xml:space="preserve">2020-06-21 18:25:00</t>
  </si>
  <si>
    <t xml:space="preserve">Х/ф 'Орёл Девятого легиона'.</t>
  </si>
  <si>
    <t xml:space="preserve">2020-06-21 19:05:00</t>
  </si>
  <si>
    <t xml:space="preserve">Х/ф 'Ты встретишь таинственного незнакомца'.</t>
  </si>
  <si>
    <t xml:space="preserve">2020-06-21 19:20:00</t>
  </si>
  <si>
    <t xml:space="preserve">Х/ф 'Посылка'.</t>
  </si>
  <si>
    <t xml:space="preserve">2020-06-22 19:05:00</t>
  </si>
  <si>
    <t xml:space="preserve">Х/ф 'Кровавый спорт'</t>
  </si>
  <si>
    <t xml:space="preserve">2020-06-22 19:20:00</t>
  </si>
  <si>
    <t xml:space="preserve">Х/ф 'Патриот'.</t>
  </si>
  <si>
    <t xml:space="preserve">2020-06-22 20:55:00</t>
  </si>
  <si>
    <t xml:space="preserve">2020-06-23 13:50:00</t>
  </si>
  <si>
    <t xml:space="preserve">2020-06-23 15:00:00</t>
  </si>
  <si>
    <t xml:space="preserve">2020-06-23 16:35:00</t>
  </si>
  <si>
    <t xml:space="preserve">2020-06-23 18:45:00</t>
  </si>
  <si>
    <t xml:space="preserve">2020-06-23 20:20:00</t>
  </si>
  <si>
    <t xml:space="preserve">2020-06-24 05:25:00</t>
  </si>
  <si>
    <t xml:space="preserve">2020-06-25 05:20:00</t>
  </si>
  <si>
    <t xml:space="preserve">Х/ф 'Призрачный гонщик 2'.</t>
  </si>
  <si>
    <t xml:space="preserve">2020-06-27 05:20:00</t>
  </si>
  <si>
    <t xml:space="preserve">Х/ф 'Отмель'.</t>
  </si>
  <si>
    <t xml:space="preserve">2020-06-27 06:00:00</t>
  </si>
  <si>
    <t xml:space="preserve">Х/ф 'Берем все на себя'.</t>
  </si>
  <si>
    <t xml:space="preserve">2020-06-27 06:40:00</t>
  </si>
  <si>
    <t xml:space="preserve">2020-06-27 20:15:00</t>
  </si>
  <si>
    <t xml:space="preserve">2020-06-29 06:45:00</t>
  </si>
  <si>
    <t xml:space="preserve">Х/ф 'Инопланетное вторжение: Битва за Лос-Анджелес'.</t>
  </si>
  <si>
    <t xml:space="preserve">2020-07-02 04:45:00</t>
  </si>
  <si>
    <t xml:space="preserve">Х/ф 'Мистер и миссис Смит'.</t>
  </si>
  <si>
    <t xml:space="preserve">2020-07-08 00:00:00</t>
  </si>
  <si>
    <t xml:space="preserve">Х/ф 'Было у отца три сына'.</t>
  </si>
  <si>
    <t xml:space="preserve">2020-07-11 06:00:00</t>
  </si>
  <si>
    <t xml:space="preserve">Х/ф 'Человек человеку волк'.</t>
  </si>
  <si>
    <t xml:space="preserve">2020-07-16 01:25:00</t>
  </si>
  <si>
    <t xml:space="preserve">2020-07-16 19:30:00</t>
  </si>
  <si>
    <t xml:space="preserve">2020-07-16 22:00:00</t>
  </si>
  <si>
    <t xml:space="preserve">Х/ф 'Плохие парни 2'.</t>
  </si>
  <si>
    <t xml:space="preserve">2020-07-16 22:50:00</t>
  </si>
  <si>
    <t xml:space="preserve">2020-07-16 23:00:00</t>
  </si>
  <si>
    <t xml:space="preserve">2020-07-17 12:45:00</t>
  </si>
  <si>
    <t xml:space="preserve">Х/ф 'Змеи на самолете', 2 ч.</t>
  </si>
  <si>
    <t xml:space="preserve">2020-07-17 13:25:00</t>
  </si>
  <si>
    <t xml:space="preserve">2020-07-17 13:50:00</t>
  </si>
  <si>
    <t xml:space="preserve">2020-07-17 16:35:00</t>
  </si>
  <si>
    <t xml:space="preserve">2020-07-17 17:30:00</t>
  </si>
  <si>
    <t xml:space="preserve">ДжеДАИ.</t>
  </si>
  <si>
    <t xml:space="preserve">2020-07-18 06:00:00</t>
  </si>
  <si>
    <t xml:space="preserve">2020-07-18 13:10:00</t>
  </si>
  <si>
    <t xml:space="preserve">Х/ф 'Поймай меня, если сможешь'.</t>
  </si>
  <si>
    <t xml:space="preserve">2020-07-18 14:05:00</t>
  </si>
  <si>
    <t xml:space="preserve">2020-07-20 08:45:00</t>
  </si>
  <si>
    <t xml:space="preserve">2020-07-20 18:45:00</t>
  </si>
  <si>
    <t xml:space="preserve">2020-07-21 05:20:00</t>
  </si>
  <si>
    <t xml:space="preserve">'Деньги'.</t>
  </si>
  <si>
    <t xml:space="preserve">2020-07-21 05:30:00</t>
  </si>
  <si>
    <t xml:space="preserve">2020-07-21 06:30:00</t>
  </si>
  <si>
    <t xml:space="preserve">2020-07-21 09:00:00</t>
  </si>
  <si>
    <t xml:space="preserve">2020-07-21 09:10:00</t>
  </si>
  <si>
    <t xml:space="preserve">2020-07-22 07:00:00</t>
  </si>
  <si>
    <t xml:space="preserve">2020-07-22 14:25:00</t>
  </si>
  <si>
    <t xml:space="preserve">2020-07-23 14:25:00</t>
  </si>
  <si>
    <t xml:space="preserve">Т/с 'Крепостная', 47 и 48 с.</t>
  </si>
  <si>
    <t xml:space="preserve">2020-07-23 14:50:00</t>
  </si>
  <si>
    <t xml:space="preserve">2020-07-23 17:30:00</t>
  </si>
  <si>
    <t xml:space="preserve">2020-07-23 18:45:00</t>
  </si>
  <si>
    <t xml:space="preserve">Секретные материалы.</t>
  </si>
  <si>
    <t xml:space="preserve">2020-07-23 19:00:00</t>
  </si>
  <si>
    <t xml:space="preserve">2020-07-23 19:30:00</t>
  </si>
  <si>
    <t xml:space="preserve">2020-07-24 05:25:00</t>
  </si>
  <si>
    <t xml:space="preserve">Х/ф 'Помешанный на времени'.</t>
  </si>
  <si>
    <t xml:space="preserve">2020-07-24 05:45:00</t>
  </si>
  <si>
    <t xml:space="preserve">2020-07-24 14:25:00</t>
  </si>
  <si>
    <t xml:space="preserve">Х/ф 'Еще до войны'.</t>
  </si>
  <si>
    <t xml:space="preserve">2020-07-25 06:00:00</t>
  </si>
  <si>
    <t xml:space="preserve">Х/ф 'Знаки'.</t>
  </si>
  <si>
    <t xml:space="preserve">2020-07-25 06:20:00</t>
  </si>
  <si>
    <t xml:space="preserve">Х/ф 'Поживем - увидим'.</t>
  </si>
  <si>
    <t xml:space="preserve">2020-07-25 06:35:00</t>
  </si>
  <si>
    <t xml:space="preserve">Х/ф 'Плохой хороший человек'.</t>
  </si>
  <si>
    <t xml:space="preserve">2020-07-25 12:25:00</t>
  </si>
  <si>
    <t xml:space="preserve">2020-07-25 13:10:00</t>
  </si>
  <si>
    <t xml:space="preserve">2020-07-26 09:25:00</t>
  </si>
  <si>
    <t xml:space="preserve">Х/ф 'Время'.</t>
  </si>
  <si>
    <t xml:space="preserve">2020-07-26 13:20:00</t>
  </si>
  <si>
    <t xml:space="preserve">Х/ф 'Мир предков'.</t>
  </si>
  <si>
    <t xml:space="preserve">2020-07-26 14:10:00</t>
  </si>
  <si>
    <t xml:space="preserve">Х/ф 'Доспехи бога 2'.</t>
  </si>
  <si>
    <t xml:space="preserve">2020-07-26 16:40:00</t>
  </si>
  <si>
    <t xml:space="preserve">Х/ф '1+1'.</t>
  </si>
  <si>
    <t xml:space="preserve">2020-07-26 17:00:00</t>
  </si>
  <si>
    <t xml:space="preserve">Х/ф 'Выживший'.</t>
  </si>
  <si>
    <t xml:space="preserve">2020-07-26 20:15:00</t>
  </si>
  <si>
    <t xml:space="preserve">rank</t>
  </si>
  <si>
    <t xml:space="preserve">h1 tv_show_id</t>
  </si>
  <si>
    <t xml:space="preserve">airings watched &gt;=80% (val)</t>
  </si>
  <si>
    <t xml:space="preserve">in top-5 GT?</t>
  </si>
  <si>
    <t xml:space="preserve">hit</t>
  </si>
  <si>
    <t xml:space="preserve">cum hits</t>
  </si>
  <si>
    <t xml:space="preserve">precision@k if hit</t>
  </si>
  <si>
    <t xml:space="preserve">GT rank</t>
  </si>
  <si>
    <t xml:space="preserve">GT tv_show_id (top-5 by count)</t>
  </si>
  <si>
    <t xml:space="preserve">count</t>
  </si>
  <si>
    <t xml:space="preserve">AP@5 = sum(precision at hits) / min(5, |GT|)</t>
  </si>
  <si>
    <t xml:space="preserve">Expected: hits at ranks 1, 3, 4 -&gt; (1/1 + 2/3 + 3/4) / 5 = 0.4833</t>
  </si>
  <si>
    <t xml:space="preserve">Tie rule: several programs have count 1 (20088, 1100411, 2400508, ...); the truth keeps the smallest tv_show_id, so 20088 is 5th and Veshdok / Segodnya are not in the truth.</t>
  </si>
  <si>
    <t xml:space="preserve">view_start</t>
  </si>
  <si>
    <t xml:space="preserve">age_weeks to 2020-05-18</t>
  </si>
  <si>
    <t xml:space="preserve">pct*0.5^(age/4)</t>
  </si>
  <si>
    <t xml:space="preserve">p = SUMIF</t>
  </si>
  <si>
    <t xml:space="preserve">slot (from script)</t>
  </si>
  <si>
    <t xml:space="preserve">score = p*(slot+1e-4)^0.5</t>
  </si>
  <si>
    <t xml:space="preserve">Expected order of h1 top-5: 240081, 1100411, 2400467, 2400480, 2400508; 5200303 (Sledstvie veli, in the truth) ranks lower.</t>
  </si>
  <si>
    <t xml:space="preserve">slot is the share of this user's train viewing time on the channel at the hours the program airs in weeks 21-30 (computed by the script, not recomputed here).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</si>
</sst>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General"/>
    <numFmt numFmtId="167" formatCode="yyyy\-mm\-dd\ hh: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</row>
    <row r="3" customFormat="false" ht="15" hidden="false" customHeight="false" outlineLevel="0" collapsed="false">
      <c r="A3" s="0" t="n">
        <v>5</v>
      </c>
      <c r="B3" s="1" t="n">
        <v>43969.78125</v>
      </c>
      <c r="C3" s="0" t="n">
        <v>2400</v>
      </c>
      <c r="D3" s="1" t="n">
        <f aca="false">B3+C3/86400</f>
        <v>43969.8090277778</v>
      </c>
    </row>
    <row r="5" customFormat="false" ht="15" hidden="false" customHeight="false" outlineLevel="0" collapsed="false">
      <c r="A5" s="0" t="s">
        <v>5</v>
      </c>
    </row>
    <row r="6" customFormat="false" ht="15" hidden="false" customHeight="false" outlineLevel="0" collapsed="false">
      <c r="A6" s="0" t="s">
        <v>6</v>
      </c>
      <c r="B6" s="0" t="s">
        <v>7</v>
      </c>
      <c r="C6" s="0" t="s">
        <v>2</v>
      </c>
      <c r="D6" s="0" t="s">
        <v>8</v>
      </c>
      <c r="E6" s="0" t="s">
        <v>9</v>
      </c>
    </row>
    <row r="7" customFormat="false" ht="15" hidden="false" customHeight="false" outlineLevel="0" collapsed="false">
      <c r="A7" s="0" t="s">
        <v>10</v>
      </c>
      <c r="B7" s="0" t="n">
        <v>5</v>
      </c>
      <c r="C7" s="1" t="n">
        <v>43969.7801851852</v>
      </c>
      <c r="D7" s="1" t="n">
        <v>43969.8024305556</v>
      </c>
      <c r="E7" s="2" t="n">
        <f aca="false">MAX(0,(MIN(D7,$D$3)-MAX(C7,$B$3))*86400)</f>
        <v>1830</v>
      </c>
    </row>
    <row r="9" customFormat="false" ht="15" hidden="false" customHeight="false" outlineLevel="0" collapsed="false">
      <c r="A9" s="0" t="s">
        <v>11</v>
      </c>
      <c r="B9" s="0" t="n">
        <f aca="false">ROUND(SUM(E7:E7),0)</f>
        <v>1830</v>
      </c>
      <c r="C9" s="0" t="s">
        <v>12</v>
      </c>
      <c r="D9" s="0" t="n">
        <f aca="false">MIN(B9/C3,1)</f>
        <v>0.7625</v>
      </c>
      <c r="E9" s="0" t="s">
        <v>13</v>
      </c>
      <c r="F9" s="0" t="n">
        <v>1830</v>
      </c>
    </row>
    <row r="10" customFormat="false" ht="15" hidden="false" customHeight="false" outlineLevel="0" collapsed="false">
      <c r="A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3</v>
      </c>
      <c r="F1" s="0" t="s">
        <v>19</v>
      </c>
      <c r="G1" s="0" t="s">
        <v>20</v>
      </c>
      <c r="H1" s="0" t="s">
        <v>21</v>
      </c>
    </row>
    <row r="2" customFormat="false" ht="15" hidden="false" customHeight="false" outlineLevel="0" collapsed="false">
      <c r="A2" s="0" t="n">
        <v>90080332</v>
      </c>
      <c r="B2" s="0" t="s">
        <v>22</v>
      </c>
      <c r="C2" s="0" t="n">
        <v>1516</v>
      </c>
      <c r="D2" s="0" t="s">
        <v>23</v>
      </c>
      <c r="E2" s="0" t="n">
        <v>7500</v>
      </c>
      <c r="F2" s="0" t="n">
        <v>586</v>
      </c>
      <c r="G2" s="0" t="n">
        <f aca="false">MIN(F2/E2,1)</f>
        <v>0.0781333333333333</v>
      </c>
      <c r="H2" s="0" t="n">
        <f aca="false">IF(G2&gt;=0.8,1,0)</f>
        <v>0</v>
      </c>
    </row>
    <row r="3" customFormat="false" ht="15" hidden="false" customHeight="false" outlineLevel="0" collapsed="false">
      <c r="A3" s="0" t="n">
        <v>90080568</v>
      </c>
      <c r="B3" s="0" t="s">
        <v>24</v>
      </c>
      <c r="C3" s="0" t="n">
        <v>1020</v>
      </c>
      <c r="D3" s="0" t="s">
        <v>25</v>
      </c>
      <c r="E3" s="0" t="n">
        <v>5700</v>
      </c>
      <c r="F3" s="0" t="n">
        <v>215</v>
      </c>
      <c r="G3" s="0" t="n">
        <f aca="false">MIN(F3/E3,1)</f>
        <v>0.037719298245614</v>
      </c>
      <c r="H3" s="0" t="n">
        <f aca="false">IF(G3&gt;=0.8,1,0)</f>
        <v>0</v>
      </c>
    </row>
    <row r="4" customFormat="false" ht="15" hidden="false" customHeight="false" outlineLevel="0" collapsed="false">
      <c r="A4" s="0" t="n">
        <v>200506</v>
      </c>
      <c r="B4" s="0" t="s">
        <v>26</v>
      </c>
      <c r="C4" s="0" t="n">
        <v>108</v>
      </c>
      <c r="D4" s="0" t="s">
        <v>27</v>
      </c>
      <c r="E4" s="0" t="n">
        <v>3600</v>
      </c>
      <c r="F4" s="0" t="n">
        <v>683</v>
      </c>
      <c r="G4" s="0" t="n">
        <f aca="false">MIN(F4/E4,1)</f>
        <v>0.189722222222222</v>
      </c>
      <c r="H4" s="0" t="n">
        <f aca="false">IF(G4&gt;=0.8,1,0)</f>
        <v>0</v>
      </c>
    </row>
    <row r="5" customFormat="false" ht="15" hidden="false" customHeight="false" outlineLevel="0" collapsed="false">
      <c r="A5" s="0" t="n">
        <v>90065611</v>
      </c>
      <c r="B5" s="0" t="s">
        <v>28</v>
      </c>
      <c r="C5" s="0" t="n">
        <v>5</v>
      </c>
      <c r="D5" s="0" t="s">
        <v>29</v>
      </c>
      <c r="E5" s="0" t="n">
        <v>6900</v>
      </c>
      <c r="F5" s="0" t="n">
        <v>92</v>
      </c>
      <c r="G5" s="0" t="n">
        <f aca="false">MIN(F5/E5,1)</f>
        <v>0.0133333333333333</v>
      </c>
      <c r="H5" s="0" t="n">
        <f aca="false">IF(G5&gt;=0.8,1,0)</f>
        <v>0</v>
      </c>
    </row>
    <row r="6" customFormat="false" ht="15" hidden="false" customHeight="false" outlineLevel="0" collapsed="false">
      <c r="A6" s="0" t="n">
        <v>2400467</v>
      </c>
      <c r="B6" s="0" t="s">
        <v>30</v>
      </c>
      <c r="C6" s="0" t="n">
        <v>6</v>
      </c>
      <c r="D6" s="0" t="s">
        <v>31</v>
      </c>
      <c r="E6" s="0" t="n">
        <v>2700</v>
      </c>
      <c r="F6" s="0" t="n">
        <v>1174</v>
      </c>
      <c r="G6" s="0" t="n">
        <f aca="false">MIN(F6/E6,1)</f>
        <v>0.434814814814815</v>
      </c>
      <c r="H6" s="0" t="n">
        <f aca="false">IF(G6&gt;=0.8,1,0)</f>
        <v>0</v>
      </c>
    </row>
    <row r="7" customFormat="false" ht="15" hidden="false" customHeight="false" outlineLevel="0" collapsed="false">
      <c r="A7" s="0" t="n">
        <v>240081</v>
      </c>
      <c r="B7" s="0" t="s">
        <v>32</v>
      </c>
      <c r="C7" s="0" t="n">
        <v>5</v>
      </c>
      <c r="D7" s="0" t="s">
        <v>33</v>
      </c>
      <c r="E7" s="0" t="n">
        <v>2400</v>
      </c>
      <c r="F7" s="0" t="n">
        <v>1830</v>
      </c>
      <c r="G7" s="0" t="n">
        <f aca="false">MIN(F7/E7,1)</f>
        <v>0.7625</v>
      </c>
      <c r="H7" s="0" t="n">
        <f aca="false">IF(G7&gt;=0.8,1,0)</f>
        <v>0</v>
      </c>
    </row>
    <row r="8" customFormat="false" ht="15" hidden="false" customHeight="false" outlineLevel="0" collapsed="false">
      <c r="A8" s="0" t="n">
        <v>2400508</v>
      </c>
      <c r="B8" s="0" t="s">
        <v>34</v>
      </c>
      <c r="C8" s="0" t="n">
        <v>108</v>
      </c>
      <c r="D8" s="0" t="s">
        <v>35</v>
      </c>
      <c r="E8" s="0" t="n">
        <v>4200</v>
      </c>
      <c r="F8" s="0" t="n">
        <v>67</v>
      </c>
      <c r="G8" s="0" t="n">
        <f aca="false">MIN(F8/E8,1)</f>
        <v>0.015952380952381</v>
      </c>
      <c r="H8" s="0" t="n">
        <f aca="false">IF(G8&gt;=0.8,1,0)</f>
        <v>0</v>
      </c>
    </row>
    <row r="9" customFormat="false" ht="15" hidden="false" customHeight="false" outlineLevel="0" collapsed="false">
      <c r="A9" s="0" t="n">
        <v>1100411</v>
      </c>
      <c r="B9" s="0" t="s">
        <v>36</v>
      </c>
      <c r="C9" s="0" t="n">
        <v>4</v>
      </c>
      <c r="D9" s="0" t="s">
        <v>37</v>
      </c>
      <c r="E9" s="0" t="n">
        <v>3900</v>
      </c>
      <c r="F9" s="0" t="n">
        <v>576</v>
      </c>
      <c r="G9" s="0" t="n">
        <f aca="false">MIN(F9/E9,1)</f>
        <v>0.147692307692308</v>
      </c>
      <c r="H9" s="0" t="n">
        <f aca="false">IF(G9&gt;=0.8,1,0)</f>
        <v>0</v>
      </c>
    </row>
    <row r="10" customFormat="false" ht="15" hidden="false" customHeight="false" outlineLevel="0" collapsed="false">
      <c r="A10" s="0" t="n">
        <v>90062183</v>
      </c>
      <c r="B10" s="0" t="s">
        <v>38</v>
      </c>
      <c r="C10" s="0" t="n">
        <v>1020</v>
      </c>
      <c r="D10" s="0" t="s">
        <v>37</v>
      </c>
      <c r="E10" s="0" t="n">
        <v>5400</v>
      </c>
      <c r="F10" s="0" t="n">
        <v>3798</v>
      </c>
      <c r="G10" s="0" t="n">
        <f aca="false">MIN(F10/E10,1)</f>
        <v>0.703333333333333</v>
      </c>
      <c r="H10" s="0" t="n">
        <f aca="false">IF(G10&gt;=0.8,1,0)</f>
        <v>0</v>
      </c>
    </row>
    <row r="11" customFormat="false" ht="15" hidden="false" customHeight="false" outlineLevel="0" collapsed="false">
      <c r="A11" s="0" t="n">
        <v>5200303</v>
      </c>
      <c r="B11" s="0" t="s">
        <v>39</v>
      </c>
      <c r="C11" s="0" t="n">
        <v>4</v>
      </c>
      <c r="D11" s="0" t="s">
        <v>40</v>
      </c>
      <c r="E11" s="0" t="n">
        <v>6300</v>
      </c>
      <c r="F11" s="0" t="n">
        <v>112</v>
      </c>
      <c r="G11" s="0" t="n">
        <f aca="false">MIN(F11/E11,1)</f>
        <v>0.0177777777777778</v>
      </c>
      <c r="H11" s="0" t="n">
        <f aca="false">IF(G11&gt;=0.8,1,0)</f>
        <v>0</v>
      </c>
    </row>
    <row r="12" customFormat="false" ht="15" hidden="false" customHeight="false" outlineLevel="0" collapsed="false">
      <c r="A12" s="0" t="n">
        <v>90075111</v>
      </c>
      <c r="B12" s="0" t="s">
        <v>41</v>
      </c>
      <c r="C12" s="0" t="n">
        <v>403</v>
      </c>
      <c r="D12" s="0" t="s">
        <v>42</v>
      </c>
      <c r="E12" s="0" t="n">
        <v>10200</v>
      </c>
      <c r="F12" s="0" t="n">
        <v>835</v>
      </c>
      <c r="G12" s="0" t="n">
        <f aca="false">MIN(F12/E12,1)</f>
        <v>0.0818627450980392</v>
      </c>
      <c r="H12" s="0" t="n">
        <f aca="false">IF(G12&gt;=0.8,1,0)</f>
        <v>0</v>
      </c>
    </row>
    <row r="13" customFormat="false" ht="15" hidden="false" customHeight="false" outlineLevel="0" collapsed="false">
      <c r="A13" s="0" t="n">
        <v>12002142</v>
      </c>
      <c r="B13" s="0" t="s">
        <v>43</v>
      </c>
      <c r="C13" s="0" t="n">
        <v>403</v>
      </c>
      <c r="D13" s="0" t="s">
        <v>44</v>
      </c>
      <c r="E13" s="0" t="n">
        <v>1500</v>
      </c>
      <c r="F13" s="0" t="n">
        <v>71</v>
      </c>
      <c r="G13" s="0" t="n">
        <f aca="false">MIN(F13/E13,1)</f>
        <v>0.0473333333333333</v>
      </c>
      <c r="H13" s="0" t="n">
        <f aca="false">IF(G13&gt;=0.8,1,0)</f>
        <v>0</v>
      </c>
    </row>
    <row r="14" customFormat="false" ht="15" hidden="false" customHeight="false" outlineLevel="0" collapsed="false">
      <c r="A14" s="0" t="n">
        <v>2400508</v>
      </c>
      <c r="B14" s="0" t="s">
        <v>34</v>
      </c>
      <c r="C14" s="0" t="n">
        <v>108</v>
      </c>
      <c r="D14" s="0" t="s">
        <v>45</v>
      </c>
      <c r="E14" s="0" t="n">
        <v>900</v>
      </c>
      <c r="F14" s="0" t="n">
        <v>66</v>
      </c>
      <c r="G14" s="0" t="n">
        <f aca="false">MIN(F14/E14,1)</f>
        <v>0.0733333333333333</v>
      </c>
      <c r="H14" s="0" t="n">
        <f aca="false">IF(G14&gt;=0.8,1,0)</f>
        <v>0</v>
      </c>
    </row>
    <row r="15" customFormat="false" ht="15" hidden="false" customHeight="false" outlineLevel="0" collapsed="false">
      <c r="A15" s="0" t="n">
        <v>5900256</v>
      </c>
      <c r="B15" s="0" t="s">
        <v>46</v>
      </c>
      <c r="C15" s="0" t="n">
        <v>108</v>
      </c>
      <c r="D15" s="0" t="s">
        <v>47</v>
      </c>
      <c r="E15" s="0" t="n">
        <v>2700</v>
      </c>
      <c r="F15" s="0" t="n">
        <v>872</v>
      </c>
      <c r="G15" s="0" t="n">
        <f aca="false">MIN(F15/E15,1)</f>
        <v>0.322962962962963</v>
      </c>
      <c r="H15" s="0" t="n">
        <f aca="false">IF(G15&gt;=0.8,1,0)</f>
        <v>0</v>
      </c>
    </row>
    <row r="16" customFormat="false" ht="15" hidden="false" customHeight="false" outlineLevel="0" collapsed="false">
      <c r="A16" s="0" t="n">
        <v>200506</v>
      </c>
      <c r="B16" s="0" t="s">
        <v>26</v>
      </c>
      <c r="C16" s="0" t="n">
        <v>108</v>
      </c>
      <c r="D16" s="0" t="s">
        <v>48</v>
      </c>
      <c r="E16" s="0" t="n">
        <v>3600</v>
      </c>
      <c r="F16" s="0" t="n">
        <v>1699</v>
      </c>
      <c r="G16" s="0" t="n">
        <f aca="false">MIN(F16/E16,1)</f>
        <v>0.471944444444444</v>
      </c>
      <c r="H16" s="0" t="n">
        <f aca="false">IF(G16&gt;=0.8,1,0)</f>
        <v>0</v>
      </c>
    </row>
    <row r="17" customFormat="false" ht="15" hidden="false" customHeight="false" outlineLevel="0" collapsed="false">
      <c r="A17" s="0" t="n">
        <v>5800509</v>
      </c>
      <c r="B17" s="0" t="s">
        <v>49</v>
      </c>
      <c r="C17" s="0" t="n">
        <v>108</v>
      </c>
      <c r="D17" s="0" t="s">
        <v>50</v>
      </c>
      <c r="E17" s="0" t="n">
        <v>10800</v>
      </c>
      <c r="F17" s="0" t="n">
        <v>113</v>
      </c>
      <c r="G17" s="0" t="n">
        <f aca="false">MIN(F17/E17,1)</f>
        <v>0.010462962962963</v>
      </c>
      <c r="H17" s="0" t="n">
        <f aca="false">IF(G17&gt;=0.8,1,0)</f>
        <v>0</v>
      </c>
    </row>
    <row r="18" customFormat="false" ht="15" hidden="false" customHeight="false" outlineLevel="0" collapsed="false">
      <c r="A18" s="0" t="n">
        <v>1100411</v>
      </c>
      <c r="B18" s="0" t="s">
        <v>36</v>
      </c>
      <c r="C18" s="0" t="n">
        <v>4</v>
      </c>
      <c r="D18" s="0" t="s">
        <v>51</v>
      </c>
      <c r="E18" s="0" t="n">
        <v>9900</v>
      </c>
      <c r="F18" s="0" t="n">
        <v>933</v>
      </c>
      <c r="G18" s="0" t="n">
        <f aca="false">MIN(F18/E18,1)</f>
        <v>0.0942424242424242</v>
      </c>
      <c r="H18" s="0" t="n">
        <f aca="false">IF(G18&gt;=0.8,1,0)</f>
        <v>0</v>
      </c>
    </row>
    <row r="19" customFormat="false" ht="15" hidden="false" customHeight="false" outlineLevel="0" collapsed="false">
      <c r="A19" s="0" t="n">
        <v>1100411</v>
      </c>
      <c r="B19" s="0" t="s">
        <v>36</v>
      </c>
      <c r="C19" s="0" t="n">
        <v>4</v>
      </c>
      <c r="D19" s="0" t="s">
        <v>52</v>
      </c>
      <c r="E19" s="0" t="n">
        <v>3900</v>
      </c>
      <c r="F19" s="0" t="n">
        <v>415</v>
      </c>
      <c r="G19" s="0" t="n">
        <f aca="false">MIN(F19/E19,1)</f>
        <v>0.106410256410256</v>
      </c>
      <c r="H19" s="0" t="n">
        <f aca="false">IF(G19&gt;=0.8,1,0)</f>
        <v>0</v>
      </c>
    </row>
    <row r="20" customFormat="false" ht="15" hidden="false" customHeight="false" outlineLevel="0" collapsed="false">
      <c r="A20" s="0" t="n">
        <v>90048052</v>
      </c>
      <c r="B20" s="0" t="s">
        <v>53</v>
      </c>
      <c r="C20" s="0" t="n">
        <v>92</v>
      </c>
      <c r="D20" s="0" t="s">
        <v>54</v>
      </c>
      <c r="E20" s="0" t="n">
        <v>7200</v>
      </c>
      <c r="F20" s="0" t="n">
        <v>129</v>
      </c>
      <c r="G20" s="0" t="n">
        <f aca="false">MIN(F20/E20,1)</f>
        <v>0.0179166666666667</v>
      </c>
      <c r="H20" s="0" t="n">
        <f aca="false">IF(G20&gt;=0.8,1,0)</f>
        <v>0</v>
      </c>
    </row>
    <row r="21" customFormat="false" ht="15" hidden="false" customHeight="false" outlineLevel="0" collapsed="false">
      <c r="A21" s="0" t="n">
        <v>2500413</v>
      </c>
      <c r="B21" s="0" t="s">
        <v>55</v>
      </c>
      <c r="C21" s="0" t="n">
        <v>5</v>
      </c>
      <c r="D21" s="0" t="s">
        <v>56</v>
      </c>
      <c r="E21" s="0" t="n">
        <v>3000</v>
      </c>
      <c r="F21" s="0" t="n">
        <v>1394</v>
      </c>
      <c r="G21" s="0" t="n">
        <f aca="false">MIN(F21/E21,1)</f>
        <v>0.464666666666667</v>
      </c>
      <c r="H21" s="0" t="n">
        <f aca="false">IF(G21&gt;=0.8,1,0)</f>
        <v>0</v>
      </c>
    </row>
    <row r="22" customFormat="false" ht="15" hidden="false" customHeight="false" outlineLevel="0" collapsed="false">
      <c r="A22" s="0" t="n">
        <v>90049433</v>
      </c>
      <c r="B22" s="0" t="s">
        <v>57</v>
      </c>
      <c r="C22" s="0" t="n">
        <v>1520</v>
      </c>
      <c r="D22" s="0" t="s">
        <v>58</v>
      </c>
      <c r="E22" s="0" t="n">
        <v>7500</v>
      </c>
      <c r="F22" s="0" t="n">
        <v>93</v>
      </c>
      <c r="G22" s="0" t="n">
        <f aca="false">MIN(F22/E22,1)</f>
        <v>0.0124</v>
      </c>
      <c r="H22" s="0" t="n">
        <f aca="false">IF(G22&gt;=0.8,1,0)</f>
        <v>0</v>
      </c>
    </row>
    <row r="23" customFormat="false" ht="15" hidden="false" customHeight="false" outlineLevel="0" collapsed="false">
      <c r="A23" s="0" t="n">
        <v>2400480</v>
      </c>
      <c r="B23" s="0" t="s">
        <v>59</v>
      </c>
      <c r="C23" s="0" t="n">
        <v>3</v>
      </c>
      <c r="D23" s="0" t="s">
        <v>60</v>
      </c>
      <c r="E23" s="0" t="n">
        <v>4500</v>
      </c>
      <c r="F23" s="0" t="n">
        <v>224</v>
      </c>
      <c r="G23" s="0" t="n">
        <f aca="false">MIN(F23/E23,1)</f>
        <v>0.0497777777777778</v>
      </c>
      <c r="H23" s="0" t="n">
        <f aca="false">IF(G23&gt;=0.8,1,0)</f>
        <v>0</v>
      </c>
    </row>
    <row r="24" customFormat="false" ht="15" hidden="false" customHeight="false" outlineLevel="0" collapsed="false">
      <c r="A24" s="0" t="n">
        <v>2500413</v>
      </c>
      <c r="B24" s="0" t="s">
        <v>55</v>
      </c>
      <c r="C24" s="0" t="n">
        <v>5</v>
      </c>
      <c r="D24" s="0" t="s">
        <v>61</v>
      </c>
      <c r="E24" s="0" t="n">
        <v>3000</v>
      </c>
      <c r="F24" s="0" t="n">
        <v>657</v>
      </c>
      <c r="G24" s="0" t="n">
        <f aca="false">MIN(F24/E24,1)</f>
        <v>0.219</v>
      </c>
      <c r="H24" s="0" t="n">
        <f aca="false">IF(G24&gt;=0.8,1,0)</f>
        <v>0</v>
      </c>
    </row>
    <row r="25" customFormat="false" ht="15" hidden="false" customHeight="false" outlineLevel="0" collapsed="false">
      <c r="A25" s="0" t="n">
        <v>200405</v>
      </c>
      <c r="B25" s="0" t="s">
        <v>62</v>
      </c>
      <c r="C25" s="0" t="n">
        <v>843</v>
      </c>
      <c r="D25" s="0" t="s">
        <v>63</v>
      </c>
      <c r="E25" s="0" t="n">
        <v>3600</v>
      </c>
      <c r="F25" s="0" t="n">
        <v>412</v>
      </c>
      <c r="G25" s="0" t="n">
        <f aca="false">MIN(F25/E25,1)</f>
        <v>0.114444444444444</v>
      </c>
      <c r="H25" s="0" t="n">
        <f aca="false">IF(G25&gt;=0.8,1,0)</f>
        <v>0</v>
      </c>
    </row>
    <row r="26" customFormat="false" ht="15" hidden="false" customHeight="false" outlineLevel="0" collapsed="false">
      <c r="A26" s="0" t="n">
        <v>240081</v>
      </c>
      <c r="B26" s="0" t="s">
        <v>32</v>
      </c>
      <c r="C26" s="0" t="n">
        <v>5</v>
      </c>
      <c r="D26" s="0" t="s">
        <v>64</v>
      </c>
      <c r="E26" s="0" t="n">
        <v>2400</v>
      </c>
      <c r="F26" s="0" t="n">
        <v>673</v>
      </c>
      <c r="G26" s="0" t="n">
        <f aca="false">MIN(F26/E26,1)</f>
        <v>0.280416666666667</v>
      </c>
      <c r="H26" s="0" t="n">
        <f aca="false">IF(G26&gt;=0.8,1,0)</f>
        <v>0</v>
      </c>
    </row>
    <row r="27" customFormat="false" ht="15" hidden="false" customHeight="false" outlineLevel="0" collapsed="false">
      <c r="A27" s="0" t="n">
        <v>2400508</v>
      </c>
      <c r="B27" s="0" t="s">
        <v>34</v>
      </c>
      <c r="C27" s="0" t="n">
        <v>108</v>
      </c>
      <c r="D27" s="0" t="s">
        <v>65</v>
      </c>
      <c r="E27" s="0" t="n">
        <v>4200</v>
      </c>
      <c r="F27" s="0" t="n">
        <v>1431</v>
      </c>
      <c r="G27" s="0" t="n">
        <f aca="false">MIN(F27/E27,1)</f>
        <v>0.340714285714286</v>
      </c>
      <c r="H27" s="0" t="n">
        <f aca="false">IF(G27&gt;=0.8,1,0)</f>
        <v>0</v>
      </c>
    </row>
    <row r="28" customFormat="false" ht="15" hidden="false" customHeight="false" outlineLevel="0" collapsed="false">
      <c r="A28" s="0" t="n">
        <v>2400480</v>
      </c>
      <c r="B28" s="0" t="s">
        <v>59</v>
      </c>
      <c r="C28" s="0" t="n">
        <v>3</v>
      </c>
      <c r="D28" s="0" t="s">
        <v>66</v>
      </c>
      <c r="E28" s="0" t="n">
        <v>4200</v>
      </c>
      <c r="F28" s="0" t="n">
        <v>563</v>
      </c>
      <c r="G28" s="0" t="n">
        <f aca="false">MIN(F28/E28,1)</f>
        <v>0.134047619047619</v>
      </c>
      <c r="H28" s="0" t="n">
        <f aca="false">IF(G28&gt;=0.8,1,0)</f>
        <v>0</v>
      </c>
    </row>
    <row r="29" customFormat="false" ht="15" hidden="false" customHeight="false" outlineLevel="0" collapsed="false">
      <c r="A29" s="0" t="n">
        <v>5200303</v>
      </c>
      <c r="B29" s="0" t="s">
        <v>39</v>
      </c>
      <c r="C29" s="0" t="n">
        <v>4</v>
      </c>
      <c r="D29" s="0" t="s">
        <v>67</v>
      </c>
      <c r="E29" s="0" t="n">
        <v>5700</v>
      </c>
      <c r="F29" s="0" t="n">
        <v>4889</v>
      </c>
      <c r="G29" s="0" t="n">
        <f aca="false">MIN(F29/E29,1)</f>
        <v>0.857719298245614</v>
      </c>
      <c r="H29" s="0" t="n">
        <f aca="false">IF(G29&gt;=0.8,1,0)</f>
        <v>1</v>
      </c>
    </row>
    <row r="30" customFormat="false" ht="15" hidden="false" customHeight="false" outlineLevel="0" collapsed="false">
      <c r="A30" s="0" t="n">
        <v>2500413</v>
      </c>
      <c r="B30" s="0" t="s">
        <v>55</v>
      </c>
      <c r="C30" s="0" t="n">
        <v>5</v>
      </c>
      <c r="D30" s="0" t="s">
        <v>68</v>
      </c>
      <c r="E30" s="0" t="n">
        <v>3000</v>
      </c>
      <c r="F30" s="0" t="n">
        <v>96</v>
      </c>
      <c r="G30" s="0" t="n">
        <f aca="false">MIN(F30/E30,1)</f>
        <v>0.032</v>
      </c>
      <c r="H30" s="0" t="n">
        <f aca="false">IF(G30&gt;=0.8,1,0)</f>
        <v>0</v>
      </c>
    </row>
    <row r="31" customFormat="false" ht="15" hidden="false" customHeight="false" outlineLevel="0" collapsed="false">
      <c r="A31" s="0" t="n">
        <v>240081</v>
      </c>
      <c r="B31" s="0" t="s">
        <v>32</v>
      </c>
      <c r="C31" s="0" t="n">
        <v>5</v>
      </c>
      <c r="D31" s="0" t="s">
        <v>69</v>
      </c>
      <c r="E31" s="0" t="n">
        <v>1800</v>
      </c>
      <c r="F31" s="0" t="n">
        <v>1787</v>
      </c>
      <c r="G31" s="0" t="n">
        <f aca="false">MIN(F31/E31,1)</f>
        <v>0.992777777777778</v>
      </c>
      <c r="H31" s="0" t="n">
        <f aca="false">IF(G31&gt;=0.8,1,0)</f>
        <v>1</v>
      </c>
    </row>
    <row r="32" customFormat="false" ht="15" hidden="false" customHeight="false" outlineLevel="0" collapsed="false">
      <c r="A32" s="0" t="n">
        <v>2400508</v>
      </c>
      <c r="B32" s="0" t="s">
        <v>34</v>
      </c>
      <c r="C32" s="0" t="n">
        <v>108</v>
      </c>
      <c r="D32" s="0" t="s">
        <v>70</v>
      </c>
      <c r="E32" s="0" t="n">
        <v>1800</v>
      </c>
      <c r="F32" s="0" t="n">
        <v>92</v>
      </c>
      <c r="G32" s="0" t="n">
        <f aca="false">MIN(F32/E32,1)</f>
        <v>0.0511111111111111</v>
      </c>
      <c r="H32" s="0" t="n">
        <f aca="false">IF(G32&gt;=0.8,1,0)</f>
        <v>0</v>
      </c>
    </row>
    <row r="33" customFormat="false" ht="15" hidden="false" customHeight="false" outlineLevel="0" collapsed="false">
      <c r="A33" s="0" t="n">
        <v>120060837</v>
      </c>
      <c r="B33" s="0" t="s">
        <v>71</v>
      </c>
      <c r="C33" s="0" t="n">
        <v>1516</v>
      </c>
      <c r="D33" s="0" t="s">
        <v>72</v>
      </c>
      <c r="E33" s="0" t="n">
        <v>5700</v>
      </c>
      <c r="F33" s="0" t="n">
        <v>224</v>
      </c>
      <c r="G33" s="0" t="n">
        <f aca="false">MIN(F33/E33,1)</f>
        <v>0.0392982456140351</v>
      </c>
      <c r="H33" s="0" t="n">
        <f aca="false">IF(G33&gt;=0.8,1,0)</f>
        <v>0</v>
      </c>
    </row>
    <row r="34" customFormat="false" ht="15" hidden="false" customHeight="false" outlineLevel="0" collapsed="false">
      <c r="A34" s="0" t="n">
        <v>10002893</v>
      </c>
      <c r="B34" s="0" t="s">
        <v>73</v>
      </c>
      <c r="C34" s="0" t="n">
        <v>6</v>
      </c>
      <c r="D34" s="0" t="s">
        <v>74</v>
      </c>
      <c r="E34" s="0" t="n">
        <v>10800</v>
      </c>
      <c r="F34" s="0" t="n">
        <v>1514</v>
      </c>
      <c r="G34" s="0" t="n">
        <f aca="false">MIN(F34/E34,1)</f>
        <v>0.140185185185185</v>
      </c>
      <c r="H34" s="0" t="n">
        <f aca="false">IF(G34&gt;=0.8,1,0)</f>
        <v>0</v>
      </c>
    </row>
    <row r="35" customFormat="false" ht="15" hidden="false" customHeight="false" outlineLevel="0" collapsed="false">
      <c r="A35" s="0" t="n">
        <v>90082217</v>
      </c>
      <c r="B35" s="0" t="s">
        <v>75</v>
      </c>
      <c r="C35" s="0" t="n">
        <v>1020</v>
      </c>
      <c r="D35" s="0" t="s">
        <v>76</v>
      </c>
      <c r="E35" s="0" t="n">
        <v>5700</v>
      </c>
      <c r="F35" s="0" t="n">
        <v>784</v>
      </c>
      <c r="G35" s="0" t="n">
        <f aca="false">MIN(F35/E35,1)</f>
        <v>0.137543859649123</v>
      </c>
      <c r="H35" s="0" t="n">
        <f aca="false">IF(G35&gt;=0.8,1,0)</f>
        <v>0</v>
      </c>
    </row>
    <row r="36" customFormat="false" ht="15" hidden="false" customHeight="false" outlineLevel="0" collapsed="false">
      <c r="A36" s="0" t="n">
        <v>120066765</v>
      </c>
      <c r="B36" s="0" t="s">
        <v>77</v>
      </c>
      <c r="C36" s="0" t="n">
        <v>7</v>
      </c>
      <c r="D36" s="0" t="s">
        <v>78</v>
      </c>
      <c r="E36" s="0" t="n">
        <v>7200</v>
      </c>
      <c r="F36" s="0" t="n">
        <v>1750</v>
      </c>
      <c r="G36" s="0" t="n">
        <f aca="false">MIN(F36/E36,1)</f>
        <v>0.243055555555556</v>
      </c>
      <c r="H36" s="0" t="n">
        <f aca="false">IF(G36&gt;=0.8,1,0)</f>
        <v>0</v>
      </c>
    </row>
    <row r="37" customFormat="false" ht="15" hidden="false" customHeight="false" outlineLevel="0" collapsed="false">
      <c r="A37" s="0" t="n">
        <v>90079632</v>
      </c>
      <c r="B37" s="0" t="s">
        <v>79</v>
      </c>
      <c r="C37" s="0" t="n">
        <v>5</v>
      </c>
      <c r="D37" s="0" t="s">
        <v>80</v>
      </c>
      <c r="E37" s="0" t="n">
        <v>6900</v>
      </c>
      <c r="F37" s="0" t="n">
        <v>180</v>
      </c>
      <c r="G37" s="0" t="n">
        <f aca="false">MIN(F37/E37,1)</f>
        <v>0.0260869565217391</v>
      </c>
      <c r="H37" s="0" t="n">
        <f aca="false">IF(G37&gt;=0.8,1,0)</f>
        <v>0</v>
      </c>
    </row>
    <row r="38" customFormat="false" ht="15" hidden="false" customHeight="false" outlineLevel="0" collapsed="false">
      <c r="A38" s="0" t="n">
        <v>90077869</v>
      </c>
      <c r="B38" s="0" t="s">
        <v>81</v>
      </c>
      <c r="C38" s="0" t="n">
        <v>1020</v>
      </c>
      <c r="D38" s="0" t="s">
        <v>82</v>
      </c>
      <c r="E38" s="0" t="n">
        <v>5100</v>
      </c>
      <c r="F38" s="0" t="n">
        <v>100</v>
      </c>
      <c r="G38" s="0" t="n">
        <f aca="false">MIN(F38/E38,1)</f>
        <v>0.0196078431372549</v>
      </c>
      <c r="H38" s="0" t="n">
        <f aca="false">IF(G38&gt;=0.8,1,0)</f>
        <v>0</v>
      </c>
    </row>
    <row r="39" customFormat="false" ht="15" hidden="false" customHeight="false" outlineLevel="0" collapsed="false">
      <c r="A39" s="0" t="n">
        <v>2400508</v>
      </c>
      <c r="B39" s="0" t="s">
        <v>34</v>
      </c>
      <c r="C39" s="0" t="n">
        <v>108</v>
      </c>
      <c r="D39" s="0" t="s">
        <v>83</v>
      </c>
      <c r="E39" s="0" t="n">
        <v>7200</v>
      </c>
      <c r="F39" s="0" t="n">
        <v>131</v>
      </c>
      <c r="G39" s="0" t="n">
        <f aca="false">MIN(F39/E39,1)</f>
        <v>0.0181944444444444</v>
      </c>
      <c r="H39" s="0" t="n">
        <f aca="false">IF(G39&gt;=0.8,1,0)</f>
        <v>0</v>
      </c>
    </row>
    <row r="40" customFormat="false" ht="15" hidden="false" customHeight="false" outlineLevel="0" collapsed="false">
      <c r="A40" s="0" t="n">
        <v>2400480</v>
      </c>
      <c r="B40" s="0" t="s">
        <v>59</v>
      </c>
      <c r="C40" s="0" t="n">
        <v>3</v>
      </c>
      <c r="D40" s="0" t="s">
        <v>84</v>
      </c>
      <c r="E40" s="0" t="n">
        <v>5400</v>
      </c>
      <c r="F40" s="0" t="n">
        <v>93</v>
      </c>
      <c r="G40" s="0" t="n">
        <f aca="false">MIN(F40/E40,1)</f>
        <v>0.0172222222222222</v>
      </c>
      <c r="H40" s="0" t="n">
        <f aca="false">IF(G40&gt;=0.8,1,0)</f>
        <v>0</v>
      </c>
    </row>
    <row r="41" customFormat="false" ht="15" hidden="false" customHeight="false" outlineLevel="0" collapsed="false">
      <c r="A41" s="0" t="n">
        <v>90082678</v>
      </c>
      <c r="B41" s="0" t="s">
        <v>85</v>
      </c>
      <c r="C41" s="0" t="n">
        <v>4</v>
      </c>
      <c r="D41" s="0" t="s">
        <v>86</v>
      </c>
      <c r="E41" s="0" t="n">
        <v>9600</v>
      </c>
      <c r="F41" s="0" t="n">
        <v>77</v>
      </c>
      <c r="G41" s="0" t="n">
        <f aca="false">MIN(F41/E41,1)</f>
        <v>0.00802083333333333</v>
      </c>
      <c r="H41" s="0" t="n">
        <f aca="false">IF(G41&gt;=0.8,1,0)</f>
        <v>0</v>
      </c>
    </row>
    <row r="42" customFormat="false" ht="15" hidden="false" customHeight="false" outlineLevel="0" collapsed="false">
      <c r="A42" s="0" t="n">
        <v>90074192</v>
      </c>
      <c r="B42" s="0" t="s">
        <v>87</v>
      </c>
      <c r="C42" s="0" t="n">
        <v>5</v>
      </c>
      <c r="D42" s="0" t="s">
        <v>88</v>
      </c>
      <c r="E42" s="0" t="n">
        <v>6000</v>
      </c>
      <c r="F42" s="0" t="n">
        <v>70</v>
      </c>
      <c r="G42" s="0" t="n">
        <f aca="false">MIN(F42/E42,1)</f>
        <v>0.0116666666666667</v>
      </c>
      <c r="H42" s="0" t="n">
        <f aca="false">IF(G42&gt;=0.8,1,0)</f>
        <v>0</v>
      </c>
    </row>
    <row r="43" customFormat="false" ht="15" hidden="false" customHeight="false" outlineLevel="0" collapsed="false">
      <c r="A43" s="0" t="n">
        <v>5200303</v>
      </c>
      <c r="B43" s="0" t="s">
        <v>39</v>
      </c>
      <c r="C43" s="0" t="n">
        <v>4</v>
      </c>
      <c r="D43" s="0" t="s">
        <v>89</v>
      </c>
      <c r="E43" s="0" t="n">
        <v>5400</v>
      </c>
      <c r="F43" s="0" t="n">
        <v>4837</v>
      </c>
      <c r="G43" s="0" t="n">
        <f aca="false">MIN(F43/E43,1)</f>
        <v>0.895740740740741</v>
      </c>
      <c r="H43" s="0" t="n">
        <f aca="false">IF(G43&gt;=0.8,1,0)</f>
        <v>1</v>
      </c>
    </row>
    <row r="44" customFormat="false" ht="15" hidden="false" customHeight="false" outlineLevel="0" collapsed="false">
      <c r="A44" s="0" t="n">
        <v>2500413</v>
      </c>
      <c r="B44" s="0" t="s">
        <v>55</v>
      </c>
      <c r="C44" s="0" t="n">
        <v>5</v>
      </c>
      <c r="D44" s="0" t="s">
        <v>90</v>
      </c>
      <c r="E44" s="0" t="n">
        <v>2700</v>
      </c>
      <c r="F44" s="0" t="n">
        <v>162</v>
      </c>
      <c r="G44" s="0" t="n">
        <f aca="false">MIN(F44/E44,1)</f>
        <v>0.06</v>
      </c>
      <c r="H44" s="0" t="n">
        <f aca="false">IF(G44&gt;=0.8,1,0)</f>
        <v>0</v>
      </c>
    </row>
    <row r="45" customFormat="false" ht="15" hidden="false" customHeight="false" outlineLevel="0" collapsed="false">
      <c r="A45" s="0" t="n">
        <v>5900256</v>
      </c>
      <c r="B45" s="0" t="s">
        <v>46</v>
      </c>
      <c r="C45" s="0" t="n">
        <v>108</v>
      </c>
      <c r="D45" s="0" t="s">
        <v>91</v>
      </c>
      <c r="E45" s="0" t="n">
        <v>1800</v>
      </c>
      <c r="F45" s="0" t="n">
        <v>227</v>
      </c>
      <c r="G45" s="0" t="n">
        <f aca="false">MIN(F45/E45,1)</f>
        <v>0.126111111111111</v>
      </c>
      <c r="H45" s="0" t="n">
        <f aca="false">IF(G45&gt;=0.8,1,0)</f>
        <v>0</v>
      </c>
    </row>
    <row r="46" customFormat="false" ht="15" hidden="false" customHeight="false" outlineLevel="0" collapsed="false">
      <c r="A46" s="0" t="n">
        <v>20088</v>
      </c>
      <c r="B46" s="0" t="s">
        <v>92</v>
      </c>
      <c r="C46" s="0" t="n">
        <v>3</v>
      </c>
      <c r="D46" s="0" t="s">
        <v>93</v>
      </c>
      <c r="E46" s="0" t="n">
        <v>3000</v>
      </c>
      <c r="F46" s="0" t="n">
        <v>1395</v>
      </c>
      <c r="G46" s="0" t="n">
        <f aca="false">MIN(F46/E46,1)</f>
        <v>0.465</v>
      </c>
      <c r="H46" s="0" t="n">
        <f aca="false">IF(G46&gt;=0.8,1,0)</f>
        <v>0</v>
      </c>
    </row>
    <row r="47" customFormat="false" ht="15" hidden="false" customHeight="false" outlineLevel="0" collapsed="false">
      <c r="A47" s="0" t="n">
        <v>2400508</v>
      </c>
      <c r="B47" s="0" t="s">
        <v>34</v>
      </c>
      <c r="C47" s="0" t="n">
        <v>108</v>
      </c>
      <c r="D47" s="0" t="s">
        <v>94</v>
      </c>
      <c r="E47" s="0" t="n">
        <v>900</v>
      </c>
      <c r="F47" s="0" t="n">
        <v>185</v>
      </c>
      <c r="G47" s="0" t="n">
        <f aca="false">MIN(F47/E47,1)</f>
        <v>0.205555555555556</v>
      </c>
      <c r="H47" s="0" t="n">
        <f aca="false">IF(G47&gt;=0.8,1,0)</f>
        <v>0</v>
      </c>
    </row>
    <row r="48" customFormat="false" ht="15" hidden="false" customHeight="false" outlineLevel="0" collapsed="false">
      <c r="A48" s="0" t="n">
        <v>5900256</v>
      </c>
      <c r="B48" s="0" t="s">
        <v>46</v>
      </c>
      <c r="C48" s="0" t="n">
        <v>108</v>
      </c>
      <c r="D48" s="0" t="s">
        <v>95</v>
      </c>
      <c r="E48" s="0" t="n">
        <v>2700</v>
      </c>
      <c r="F48" s="0" t="n">
        <v>373</v>
      </c>
      <c r="G48" s="0" t="n">
        <f aca="false">MIN(F48/E48,1)</f>
        <v>0.138148148148148</v>
      </c>
      <c r="H48" s="0" t="n">
        <f aca="false">IF(G48&gt;=0.8,1,0)</f>
        <v>0</v>
      </c>
    </row>
    <row r="49" customFormat="false" ht="15" hidden="false" customHeight="false" outlineLevel="0" collapsed="false">
      <c r="A49" s="0" t="n">
        <v>240081</v>
      </c>
      <c r="B49" s="0" t="s">
        <v>32</v>
      </c>
      <c r="C49" s="0" t="n">
        <v>5</v>
      </c>
      <c r="D49" s="0" t="s">
        <v>96</v>
      </c>
      <c r="E49" s="0" t="n">
        <v>1800</v>
      </c>
      <c r="F49" s="0" t="n">
        <v>1800</v>
      </c>
      <c r="G49" s="0" t="n">
        <f aca="false">MIN(F49/E49,1)</f>
        <v>1</v>
      </c>
      <c r="H49" s="0" t="n">
        <f aca="false">IF(G49&gt;=0.8,1,0)</f>
        <v>1</v>
      </c>
    </row>
    <row r="50" customFormat="false" ht="15" hidden="false" customHeight="false" outlineLevel="0" collapsed="false">
      <c r="A50" s="0" t="n">
        <v>90073026</v>
      </c>
      <c r="B50" s="0" t="s">
        <v>97</v>
      </c>
      <c r="C50" s="0" t="n">
        <v>1020</v>
      </c>
      <c r="D50" s="0" t="s">
        <v>98</v>
      </c>
      <c r="E50" s="0" t="n">
        <v>7800</v>
      </c>
      <c r="F50" s="0" t="n">
        <v>337</v>
      </c>
      <c r="G50" s="0" t="n">
        <f aca="false">MIN(F50/E50,1)</f>
        <v>0.0432051282051282</v>
      </c>
      <c r="H50" s="0" t="n">
        <f aca="false">IF(G50&gt;=0.8,1,0)</f>
        <v>0</v>
      </c>
    </row>
    <row r="51" customFormat="false" ht="15" hidden="false" customHeight="false" outlineLevel="0" collapsed="false">
      <c r="A51" s="0" t="n">
        <v>1100411</v>
      </c>
      <c r="B51" s="0" t="s">
        <v>36</v>
      </c>
      <c r="C51" s="0" t="n">
        <v>4</v>
      </c>
      <c r="D51" s="0" t="s">
        <v>99</v>
      </c>
      <c r="E51" s="0" t="n">
        <v>9900</v>
      </c>
      <c r="F51" s="0" t="n">
        <v>7122</v>
      </c>
      <c r="G51" s="0" t="n">
        <f aca="false">MIN(F51/E51,1)</f>
        <v>0.719393939393939</v>
      </c>
      <c r="H51" s="0" t="n">
        <f aca="false">IF(G51&gt;=0.8,1,0)</f>
        <v>0</v>
      </c>
    </row>
    <row r="52" customFormat="false" ht="15" hidden="false" customHeight="false" outlineLevel="0" collapsed="false">
      <c r="A52" s="0" t="n">
        <v>1100411</v>
      </c>
      <c r="B52" s="0" t="s">
        <v>36</v>
      </c>
      <c r="C52" s="0" t="n">
        <v>4</v>
      </c>
      <c r="D52" s="0" t="s">
        <v>100</v>
      </c>
      <c r="E52" s="0" t="n">
        <v>3900</v>
      </c>
      <c r="F52" s="0" t="n">
        <v>2345</v>
      </c>
      <c r="G52" s="0" t="n">
        <f aca="false">MIN(F52/E52,1)</f>
        <v>0.601282051282051</v>
      </c>
      <c r="H52" s="0" t="n">
        <f aca="false">IF(G52&gt;=0.8,1,0)</f>
        <v>0</v>
      </c>
    </row>
    <row r="53" customFormat="false" ht="15" hidden="false" customHeight="false" outlineLevel="0" collapsed="false">
      <c r="A53" s="0" t="n">
        <v>2400467</v>
      </c>
      <c r="B53" s="0" t="s">
        <v>30</v>
      </c>
      <c r="C53" s="0" t="n">
        <v>6</v>
      </c>
      <c r="D53" s="0" t="s">
        <v>101</v>
      </c>
      <c r="E53" s="0" t="n">
        <v>2700</v>
      </c>
      <c r="F53" s="0" t="n">
        <v>2006</v>
      </c>
      <c r="G53" s="0" t="n">
        <f aca="false">MIN(F53/E53,1)</f>
        <v>0.742962962962963</v>
      </c>
      <c r="H53" s="0" t="n">
        <f aca="false">IF(G53&gt;=0.8,1,0)</f>
        <v>0</v>
      </c>
    </row>
    <row r="54" customFormat="false" ht="15" hidden="false" customHeight="false" outlineLevel="0" collapsed="false">
      <c r="A54" s="0" t="n">
        <v>240081</v>
      </c>
      <c r="B54" s="0" t="s">
        <v>32</v>
      </c>
      <c r="C54" s="0" t="n">
        <v>5</v>
      </c>
      <c r="D54" s="0" t="s">
        <v>102</v>
      </c>
      <c r="E54" s="0" t="n">
        <v>1500</v>
      </c>
      <c r="F54" s="0" t="n">
        <v>846</v>
      </c>
      <c r="G54" s="0" t="n">
        <f aca="false">MIN(F54/E54,1)</f>
        <v>0.564</v>
      </c>
      <c r="H54" s="0" t="n">
        <f aca="false">IF(G54&gt;=0.8,1,0)</f>
        <v>0</v>
      </c>
    </row>
    <row r="55" customFormat="false" ht="15" hidden="false" customHeight="false" outlineLevel="0" collapsed="false">
      <c r="A55" s="0" t="n">
        <v>2400508</v>
      </c>
      <c r="B55" s="0" t="s">
        <v>34</v>
      </c>
      <c r="C55" s="0" t="n">
        <v>108</v>
      </c>
      <c r="D55" s="0" t="s">
        <v>103</v>
      </c>
      <c r="E55" s="0" t="n">
        <v>4200</v>
      </c>
      <c r="F55" s="0" t="n">
        <v>489</v>
      </c>
      <c r="G55" s="0" t="n">
        <f aca="false">MIN(F55/E55,1)</f>
        <v>0.116428571428571</v>
      </c>
      <c r="H55" s="0" t="n">
        <f aca="false">IF(G55&gt;=0.8,1,0)</f>
        <v>0</v>
      </c>
    </row>
    <row r="56" customFormat="false" ht="15" hidden="false" customHeight="false" outlineLevel="0" collapsed="false">
      <c r="A56" s="0" t="n">
        <v>5200303</v>
      </c>
      <c r="B56" s="0" t="s">
        <v>39</v>
      </c>
      <c r="C56" s="0" t="n">
        <v>4</v>
      </c>
      <c r="D56" s="0" t="s">
        <v>104</v>
      </c>
      <c r="E56" s="0" t="n">
        <v>5700</v>
      </c>
      <c r="F56" s="0" t="n">
        <v>3752</v>
      </c>
      <c r="G56" s="0" t="n">
        <f aca="false">MIN(F56/E56,1)</f>
        <v>0.658245614035088</v>
      </c>
      <c r="H56" s="0" t="n">
        <f aca="false">IF(G56&gt;=0.8,1,0)</f>
        <v>0</v>
      </c>
    </row>
    <row r="57" customFormat="false" ht="15" hidden="false" customHeight="false" outlineLevel="0" collapsed="false">
      <c r="A57" s="0" t="n">
        <v>240081</v>
      </c>
      <c r="B57" s="0" t="s">
        <v>32</v>
      </c>
      <c r="C57" s="0" t="n">
        <v>5</v>
      </c>
      <c r="D57" s="0" t="s">
        <v>105</v>
      </c>
      <c r="E57" s="0" t="n">
        <v>300</v>
      </c>
      <c r="F57" s="0" t="n">
        <v>204</v>
      </c>
      <c r="G57" s="0" t="n">
        <f aca="false">MIN(F57/E57,1)</f>
        <v>0.68</v>
      </c>
      <c r="H57" s="0" t="n">
        <f aca="false">IF(G57&gt;=0.8,1,0)</f>
        <v>0</v>
      </c>
    </row>
    <row r="58" customFormat="false" ht="15" hidden="false" customHeight="false" outlineLevel="0" collapsed="false">
      <c r="A58" s="0" t="n">
        <v>90079986</v>
      </c>
      <c r="B58" s="0" t="s">
        <v>106</v>
      </c>
      <c r="C58" s="0" t="n">
        <v>1020</v>
      </c>
      <c r="D58" s="0" t="s">
        <v>107</v>
      </c>
      <c r="E58" s="0" t="n">
        <v>7200</v>
      </c>
      <c r="F58" s="0" t="n">
        <v>189</v>
      </c>
      <c r="G58" s="0" t="n">
        <f aca="false">MIN(F58/E58,1)</f>
        <v>0.02625</v>
      </c>
      <c r="H58" s="0" t="n">
        <f aca="false">IF(G58&gt;=0.8,1,0)</f>
        <v>0</v>
      </c>
    </row>
    <row r="59" customFormat="false" ht="15" hidden="false" customHeight="false" outlineLevel="0" collapsed="false">
      <c r="A59" s="0" t="n">
        <v>90082051</v>
      </c>
      <c r="B59" s="0" t="s">
        <v>108</v>
      </c>
      <c r="C59" s="0" t="n">
        <v>108</v>
      </c>
      <c r="D59" s="0" t="s">
        <v>109</v>
      </c>
      <c r="E59" s="0" t="n">
        <v>1800</v>
      </c>
      <c r="F59" s="0" t="n">
        <v>79</v>
      </c>
      <c r="G59" s="0" t="n">
        <f aca="false">MIN(F59/E59,1)</f>
        <v>0.0438888888888889</v>
      </c>
      <c r="H59" s="0" t="n">
        <f aca="false">IF(G59&gt;=0.8,1,0)</f>
        <v>0</v>
      </c>
    </row>
    <row r="60" customFormat="false" ht="15" hidden="false" customHeight="false" outlineLevel="0" collapsed="false">
      <c r="A60" s="0" t="n">
        <v>90056796</v>
      </c>
      <c r="B60" s="0" t="s">
        <v>110</v>
      </c>
      <c r="C60" s="0" t="n">
        <v>1520</v>
      </c>
      <c r="D60" s="0" t="s">
        <v>111</v>
      </c>
      <c r="E60" s="0" t="n">
        <v>6600</v>
      </c>
      <c r="F60" s="0" t="n">
        <v>4557</v>
      </c>
      <c r="G60" s="0" t="n">
        <f aca="false">MIN(F60/E60,1)</f>
        <v>0.690454545454545</v>
      </c>
      <c r="H60" s="0" t="n">
        <f aca="false">IF(G60&gt;=0.8,1,0)</f>
        <v>0</v>
      </c>
    </row>
    <row r="61" customFormat="false" ht="15" hidden="false" customHeight="false" outlineLevel="0" collapsed="false">
      <c r="A61" s="0" t="n">
        <v>2400508</v>
      </c>
      <c r="B61" s="0" t="s">
        <v>34</v>
      </c>
      <c r="C61" s="0" t="n">
        <v>108</v>
      </c>
      <c r="D61" s="0" t="s">
        <v>112</v>
      </c>
      <c r="E61" s="0" t="n">
        <v>3600</v>
      </c>
      <c r="F61" s="0" t="n">
        <v>390</v>
      </c>
      <c r="G61" s="0" t="n">
        <f aca="false">MIN(F61/E61,1)</f>
        <v>0.108333333333333</v>
      </c>
      <c r="H61" s="0" t="n">
        <f aca="false">IF(G61&gt;=0.8,1,0)</f>
        <v>0</v>
      </c>
    </row>
    <row r="62" customFormat="false" ht="15" hidden="false" customHeight="false" outlineLevel="0" collapsed="false">
      <c r="A62" s="0" t="n">
        <v>2500507</v>
      </c>
      <c r="B62" s="0" t="s">
        <v>113</v>
      </c>
      <c r="C62" s="0" t="n">
        <v>108</v>
      </c>
      <c r="D62" s="0" t="s">
        <v>114</v>
      </c>
      <c r="E62" s="0" t="n">
        <v>3600</v>
      </c>
      <c r="F62" s="0" t="n">
        <v>283</v>
      </c>
      <c r="G62" s="0" t="n">
        <f aca="false">MIN(F62/E62,1)</f>
        <v>0.0786111111111111</v>
      </c>
      <c r="H62" s="0" t="n">
        <f aca="false">IF(G62&gt;=0.8,1,0)</f>
        <v>0</v>
      </c>
    </row>
    <row r="63" customFormat="false" ht="15" hidden="false" customHeight="false" outlineLevel="0" collapsed="false">
      <c r="A63" s="0" t="n">
        <v>200506</v>
      </c>
      <c r="B63" s="0" t="s">
        <v>26</v>
      </c>
      <c r="C63" s="0" t="n">
        <v>108</v>
      </c>
      <c r="D63" s="0" t="s">
        <v>115</v>
      </c>
      <c r="E63" s="0" t="n">
        <v>7500</v>
      </c>
      <c r="F63" s="0" t="n">
        <v>173</v>
      </c>
      <c r="G63" s="0" t="n">
        <f aca="false">MIN(F63/E63,1)</f>
        <v>0.0230666666666667</v>
      </c>
      <c r="H63" s="0" t="n">
        <f aca="false">IF(G63&gt;=0.8,1,0)</f>
        <v>0</v>
      </c>
    </row>
    <row r="64" customFormat="false" ht="15" hidden="false" customHeight="false" outlineLevel="0" collapsed="false">
      <c r="A64" s="0" t="n">
        <v>200477</v>
      </c>
      <c r="B64" s="0" t="s">
        <v>116</v>
      </c>
      <c r="C64" s="0" t="n">
        <v>3</v>
      </c>
      <c r="D64" s="0" t="s">
        <v>117</v>
      </c>
      <c r="E64" s="0" t="n">
        <v>3600</v>
      </c>
      <c r="F64" s="0" t="n">
        <v>542</v>
      </c>
      <c r="G64" s="0" t="n">
        <f aca="false">MIN(F64/E64,1)</f>
        <v>0.150555555555556</v>
      </c>
      <c r="H64" s="0" t="n">
        <f aca="false">IF(G64&gt;=0.8,1,0)</f>
        <v>0</v>
      </c>
    </row>
    <row r="65" customFormat="false" ht="15" hidden="false" customHeight="false" outlineLevel="0" collapsed="false">
      <c r="A65" s="0" t="n">
        <v>90069882</v>
      </c>
      <c r="B65" s="0" t="s">
        <v>118</v>
      </c>
      <c r="C65" s="0" t="n">
        <v>805</v>
      </c>
      <c r="D65" s="0" t="s">
        <v>119</v>
      </c>
      <c r="E65" s="0" t="n">
        <v>6900</v>
      </c>
      <c r="F65" s="0" t="n">
        <v>1236</v>
      </c>
      <c r="G65" s="0" t="n">
        <f aca="false">MIN(F65/E65,1)</f>
        <v>0.179130434782609</v>
      </c>
      <c r="H65" s="0" t="n">
        <f aca="false">IF(G65&gt;=0.8,1,0)</f>
        <v>0</v>
      </c>
    </row>
    <row r="66" customFormat="false" ht="15" hidden="false" customHeight="false" outlineLevel="0" collapsed="false">
      <c r="A66" s="0" t="n">
        <v>2400480</v>
      </c>
      <c r="B66" s="0" t="s">
        <v>59</v>
      </c>
      <c r="C66" s="0" t="n">
        <v>3</v>
      </c>
      <c r="D66" s="0" t="s">
        <v>120</v>
      </c>
      <c r="E66" s="0" t="n">
        <v>5400</v>
      </c>
      <c r="F66" s="0" t="n">
        <v>765</v>
      </c>
      <c r="G66" s="0" t="n">
        <f aca="false">MIN(F66/E66,1)</f>
        <v>0.141666666666667</v>
      </c>
      <c r="H66" s="0" t="n">
        <f aca="false">IF(G66&gt;=0.8,1,0)</f>
        <v>0</v>
      </c>
    </row>
    <row r="67" customFormat="false" ht="15" hidden="false" customHeight="false" outlineLevel="0" collapsed="false">
      <c r="A67" s="0" t="n">
        <v>6500479</v>
      </c>
      <c r="B67" s="0" t="s">
        <v>121</v>
      </c>
      <c r="C67" s="0" t="n">
        <v>3</v>
      </c>
      <c r="D67" s="0" t="s">
        <v>122</v>
      </c>
      <c r="E67" s="0" t="n">
        <v>7800</v>
      </c>
      <c r="F67" s="0" t="n">
        <v>215</v>
      </c>
      <c r="G67" s="0" t="n">
        <f aca="false">MIN(F67/E67,1)</f>
        <v>0.0275641025641026</v>
      </c>
      <c r="H67" s="0" t="n">
        <f aca="false">IF(G67&gt;=0.8,1,0)</f>
        <v>0</v>
      </c>
    </row>
    <row r="68" customFormat="false" ht="15" hidden="false" customHeight="false" outlineLevel="0" collapsed="false">
      <c r="A68" s="0" t="n">
        <v>2400480</v>
      </c>
      <c r="B68" s="0" t="s">
        <v>59</v>
      </c>
      <c r="C68" s="0" t="n">
        <v>3</v>
      </c>
      <c r="D68" s="0" t="s">
        <v>123</v>
      </c>
      <c r="E68" s="0" t="n">
        <v>5400</v>
      </c>
      <c r="F68" s="0" t="n">
        <v>5293</v>
      </c>
      <c r="G68" s="0" t="n">
        <f aca="false">MIN(F68/E68,1)</f>
        <v>0.980185185185185</v>
      </c>
      <c r="H68" s="0" t="n">
        <f aca="false">IF(G68&gt;=0.8,1,0)</f>
        <v>1</v>
      </c>
    </row>
    <row r="69" customFormat="false" ht="15" hidden="false" customHeight="false" outlineLevel="0" collapsed="false">
      <c r="A69" s="0" t="n">
        <v>1100411</v>
      </c>
      <c r="B69" s="0" t="s">
        <v>36</v>
      </c>
      <c r="C69" s="0" t="n">
        <v>4</v>
      </c>
      <c r="D69" s="0" t="s">
        <v>124</v>
      </c>
      <c r="E69" s="0" t="n">
        <v>9900</v>
      </c>
      <c r="F69" s="0" t="n">
        <v>6723</v>
      </c>
      <c r="G69" s="0" t="n">
        <f aca="false">MIN(F69/E69,1)</f>
        <v>0.679090909090909</v>
      </c>
      <c r="H69" s="0" t="n">
        <f aca="false">IF(G69&gt;=0.8,1,0)</f>
        <v>0</v>
      </c>
    </row>
    <row r="70" customFormat="false" ht="15" hidden="false" customHeight="false" outlineLevel="0" collapsed="false">
      <c r="A70" s="0" t="n">
        <v>1100411</v>
      </c>
      <c r="B70" s="0" t="s">
        <v>36</v>
      </c>
      <c r="C70" s="0" t="n">
        <v>4</v>
      </c>
      <c r="D70" s="0" t="s">
        <v>125</v>
      </c>
      <c r="E70" s="0" t="n">
        <v>3900</v>
      </c>
      <c r="F70" s="0" t="n">
        <v>3059</v>
      </c>
      <c r="G70" s="0" t="n">
        <f aca="false">MIN(F70/E70,1)</f>
        <v>0.784358974358974</v>
      </c>
      <c r="H70" s="0" t="n">
        <f aca="false">IF(G70&gt;=0.8,1,0)</f>
        <v>0</v>
      </c>
    </row>
    <row r="71" customFormat="false" ht="15" hidden="false" customHeight="false" outlineLevel="0" collapsed="false">
      <c r="A71" s="0" t="n">
        <v>90072122</v>
      </c>
      <c r="B71" s="0" t="s">
        <v>126</v>
      </c>
      <c r="C71" s="0" t="n">
        <v>5</v>
      </c>
      <c r="D71" s="0" t="s">
        <v>127</v>
      </c>
      <c r="E71" s="0" t="n">
        <v>6900</v>
      </c>
      <c r="F71" s="0" t="n">
        <v>32</v>
      </c>
      <c r="G71" s="0" t="n">
        <f aca="false">MIN(F71/E71,1)</f>
        <v>0.00463768115942029</v>
      </c>
      <c r="H71" s="0" t="n">
        <f aca="false">IF(G71&gt;=0.8,1,0)</f>
        <v>0</v>
      </c>
    </row>
    <row r="72" customFormat="false" ht="15" hidden="false" customHeight="false" outlineLevel="0" collapsed="false">
      <c r="A72" s="0" t="n">
        <v>2400467</v>
      </c>
      <c r="B72" s="0" t="s">
        <v>30</v>
      </c>
      <c r="C72" s="0" t="n">
        <v>6</v>
      </c>
      <c r="D72" s="0" t="s">
        <v>128</v>
      </c>
      <c r="E72" s="0" t="n">
        <v>2700</v>
      </c>
      <c r="F72" s="0" t="n">
        <v>2418</v>
      </c>
      <c r="G72" s="0" t="n">
        <f aca="false">MIN(F72/E72,1)</f>
        <v>0.895555555555556</v>
      </c>
      <c r="H72" s="0" t="n">
        <f aca="false">IF(G72&gt;=0.8,1,0)</f>
        <v>1</v>
      </c>
    </row>
    <row r="73" customFormat="false" ht="15" hidden="false" customHeight="false" outlineLevel="0" collapsed="false">
      <c r="A73" s="0" t="n">
        <v>240081</v>
      </c>
      <c r="B73" s="0" t="s">
        <v>32</v>
      </c>
      <c r="C73" s="0" t="n">
        <v>5</v>
      </c>
      <c r="D73" s="0" t="s">
        <v>129</v>
      </c>
      <c r="E73" s="0" t="n">
        <v>1800</v>
      </c>
      <c r="F73" s="0" t="n">
        <v>454</v>
      </c>
      <c r="G73" s="0" t="n">
        <f aca="false">MIN(F73/E73,1)</f>
        <v>0.252222222222222</v>
      </c>
      <c r="H73" s="0" t="n">
        <f aca="false">IF(G73&gt;=0.8,1,0)</f>
        <v>0</v>
      </c>
    </row>
    <row r="74" customFormat="false" ht="15" hidden="false" customHeight="false" outlineLevel="0" collapsed="false">
      <c r="A74" s="0" t="n">
        <v>2500413</v>
      </c>
      <c r="B74" s="0" t="s">
        <v>55</v>
      </c>
      <c r="C74" s="0" t="n">
        <v>5</v>
      </c>
      <c r="D74" s="0" t="s">
        <v>130</v>
      </c>
      <c r="E74" s="0" t="n">
        <v>2700</v>
      </c>
      <c r="F74" s="0" t="n">
        <v>1692</v>
      </c>
      <c r="G74" s="0" t="n">
        <f aca="false">MIN(F74/E74,1)</f>
        <v>0.626666666666667</v>
      </c>
      <c r="H74" s="0" t="n">
        <f aca="false">IF(G74&gt;=0.8,1,0)</f>
        <v>0</v>
      </c>
    </row>
    <row r="75" customFormat="false" ht="15" hidden="false" customHeight="false" outlineLevel="0" collapsed="false">
      <c r="A75" s="0" t="n">
        <v>5200303</v>
      </c>
      <c r="B75" s="0" t="s">
        <v>39</v>
      </c>
      <c r="C75" s="0" t="n">
        <v>4</v>
      </c>
      <c r="D75" s="0" t="s">
        <v>131</v>
      </c>
      <c r="E75" s="0" t="n">
        <v>5400</v>
      </c>
      <c r="F75" s="0" t="n">
        <v>514</v>
      </c>
      <c r="G75" s="0" t="n">
        <f aca="false">MIN(F75/E75,1)</f>
        <v>0.0951851851851852</v>
      </c>
      <c r="H75" s="0" t="n">
        <f aca="false">IF(G75&gt;=0.8,1,0)</f>
        <v>0</v>
      </c>
    </row>
    <row r="76" customFormat="false" ht="15" hidden="false" customHeight="false" outlineLevel="0" collapsed="false">
      <c r="A76" s="0" t="n">
        <v>240081</v>
      </c>
      <c r="B76" s="0" t="s">
        <v>32</v>
      </c>
      <c r="C76" s="0" t="n">
        <v>5</v>
      </c>
      <c r="D76" s="0" t="s">
        <v>132</v>
      </c>
      <c r="E76" s="0" t="n">
        <v>1800</v>
      </c>
      <c r="F76" s="0" t="n">
        <v>1800</v>
      </c>
      <c r="G76" s="0" t="n">
        <f aca="false">MIN(F76/E76,1)</f>
        <v>1</v>
      </c>
      <c r="H76" s="0" t="n">
        <f aca="false">IF(G76&gt;=0.8,1,0)</f>
        <v>1</v>
      </c>
    </row>
    <row r="77" customFormat="false" ht="15" hidden="false" customHeight="false" outlineLevel="0" collapsed="false">
      <c r="A77" s="0" t="n">
        <v>5200303</v>
      </c>
      <c r="B77" s="0" t="s">
        <v>39</v>
      </c>
      <c r="C77" s="0" t="n">
        <v>4</v>
      </c>
      <c r="D77" s="0" t="s">
        <v>133</v>
      </c>
      <c r="E77" s="0" t="n">
        <v>6600</v>
      </c>
      <c r="F77" s="0" t="n">
        <v>448</v>
      </c>
      <c r="G77" s="0" t="n">
        <f aca="false">MIN(F77/E77,1)</f>
        <v>0.0678787878787879</v>
      </c>
      <c r="H77" s="0" t="n">
        <f aca="false">IF(G77&gt;=0.8,1,0)</f>
        <v>0</v>
      </c>
    </row>
    <row r="78" customFormat="false" ht="15" hidden="false" customHeight="false" outlineLevel="0" collapsed="false">
      <c r="A78" s="0" t="n">
        <v>10002697</v>
      </c>
      <c r="B78" s="0" t="s">
        <v>134</v>
      </c>
      <c r="C78" s="0" t="n">
        <v>6</v>
      </c>
      <c r="D78" s="0" t="s">
        <v>135</v>
      </c>
      <c r="E78" s="0" t="n">
        <v>6300</v>
      </c>
      <c r="F78" s="0" t="n">
        <v>138</v>
      </c>
      <c r="G78" s="0" t="n">
        <f aca="false">MIN(F78/E78,1)</f>
        <v>0.0219047619047619</v>
      </c>
      <c r="H78" s="0" t="n">
        <f aca="false">IF(G78&gt;=0.8,1,0)</f>
        <v>0</v>
      </c>
    </row>
    <row r="79" customFormat="false" ht="15" hidden="false" customHeight="false" outlineLevel="0" collapsed="false">
      <c r="A79" s="0" t="n">
        <v>90020365</v>
      </c>
      <c r="B79" s="0" t="s">
        <v>136</v>
      </c>
      <c r="C79" s="0" t="n">
        <v>525</v>
      </c>
      <c r="D79" s="0" t="s">
        <v>137</v>
      </c>
      <c r="E79" s="0" t="n">
        <v>7200</v>
      </c>
      <c r="F79" s="0" t="n">
        <v>162</v>
      </c>
      <c r="G79" s="0" t="n">
        <f aca="false">MIN(F79/E79,1)</f>
        <v>0.0225</v>
      </c>
      <c r="H79" s="0" t="n">
        <f aca="false">IF(G79&gt;=0.8,1,0)</f>
        <v>0</v>
      </c>
    </row>
    <row r="80" customFormat="false" ht="15" hidden="false" customHeight="false" outlineLevel="0" collapsed="false">
      <c r="A80" s="0" t="n">
        <v>240081</v>
      </c>
      <c r="B80" s="0" t="s">
        <v>32</v>
      </c>
      <c r="C80" s="0" t="n">
        <v>5</v>
      </c>
      <c r="D80" s="0" t="s">
        <v>138</v>
      </c>
      <c r="E80" s="0" t="n">
        <v>2400</v>
      </c>
      <c r="F80" s="0" t="n">
        <v>914</v>
      </c>
      <c r="G80" s="0" t="n">
        <f aca="false">MIN(F80/E80,1)</f>
        <v>0.380833333333333</v>
      </c>
      <c r="H80" s="0" t="n">
        <f aca="false">IF(G80&gt;=0.8,1,0)</f>
        <v>0</v>
      </c>
    </row>
    <row r="81" customFormat="false" ht="15" hidden="false" customHeight="false" outlineLevel="0" collapsed="false">
      <c r="A81" s="0" t="n">
        <v>90072181</v>
      </c>
      <c r="B81" s="0" t="s">
        <v>139</v>
      </c>
      <c r="C81" s="0" t="n">
        <v>1516</v>
      </c>
      <c r="D81" s="0" t="s">
        <v>140</v>
      </c>
      <c r="E81" s="0" t="n">
        <v>6300</v>
      </c>
      <c r="F81" s="0" t="n">
        <v>285</v>
      </c>
      <c r="G81" s="0" t="n">
        <f aca="false">MIN(F81/E81,1)</f>
        <v>0.0452380952380952</v>
      </c>
      <c r="H81" s="0" t="n">
        <f aca="false">IF(G81&gt;=0.8,1,0)</f>
        <v>0</v>
      </c>
    </row>
    <row r="82" customFormat="false" ht="15" hidden="false" customHeight="false" outlineLevel="0" collapsed="false">
      <c r="A82" s="0" t="n">
        <v>90060385</v>
      </c>
      <c r="B82" s="0" t="s">
        <v>141</v>
      </c>
      <c r="C82" s="0" t="n">
        <v>1520</v>
      </c>
      <c r="D82" s="0" t="s">
        <v>142</v>
      </c>
      <c r="E82" s="0" t="n">
        <v>6000</v>
      </c>
      <c r="F82" s="0" t="n">
        <v>4699</v>
      </c>
      <c r="G82" s="0" t="n">
        <f aca="false">MIN(F82/E82,1)</f>
        <v>0.783166666666667</v>
      </c>
      <c r="H82" s="0" t="n">
        <f aca="false">IF(G82&gt;=0.8,1,0)</f>
        <v>0</v>
      </c>
    </row>
    <row r="83" customFormat="false" ht="15" hidden="false" customHeight="false" outlineLevel="0" collapsed="false">
      <c r="A83" s="0" t="n">
        <v>90075504</v>
      </c>
      <c r="B83" s="0" t="s">
        <v>143</v>
      </c>
      <c r="C83" s="0" t="n">
        <v>1516</v>
      </c>
      <c r="D83" s="0" t="s">
        <v>144</v>
      </c>
      <c r="E83" s="0" t="n">
        <v>7500</v>
      </c>
      <c r="F83" s="0" t="n">
        <v>79</v>
      </c>
      <c r="G83" s="0" t="n">
        <f aca="false">MIN(F83/E83,1)</f>
        <v>0.0105333333333333</v>
      </c>
      <c r="H83" s="0" t="n">
        <f aca="false">IF(G83&gt;=0.8,1,0)</f>
        <v>0</v>
      </c>
    </row>
    <row r="84" customFormat="false" ht="15" hidden="false" customHeight="false" outlineLevel="0" collapsed="false">
      <c r="A84" s="0" t="n">
        <v>90072572</v>
      </c>
      <c r="B84" s="0" t="s">
        <v>145</v>
      </c>
      <c r="C84" s="0" t="n">
        <v>403</v>
      </c>
      <c r="D84" s="0" t="s">
        <v>146</v>
      </c>
      <c r="E84" s="0" t="n">
        <v>6900</v>
      </c>
      <c r="F84" s="0" t="n">
        <v>71</v>
      </c>
      <c r="G84" s="0" t="n">
        <f aca="false">MIN(F84/E84,1)</f>
        <v>0.0102898550724638</v>
      </c>
      <c r="H84" s="0" t="n">
        <f aca="false">IF(G84&gt;=0.8,1,0)</f>
        <v>0</v>
      </c>
    </row>
    <row r="85" customFormat="false" ht="15" hidden="false" customHeight="false" outlineLevel="0" collapsed="false">
      <c r="A85" s="0" t="n">
        <v>90082147</v>
      </c>
      <c r="B85" s="0" t="s">
        <v>147</v>
      </c>
      <c r="C85" s="0" t="n">
        <v>525</v>
      </c>
      <c r="D85" s="0" t="s">
        <v>148</v>
      </c>
      <c r="E85" s="0" t="n">
        <v>6300</v>
      </c>
      <c r="F85" s="0" t="n">
        <v>127</v>
      </c>
      <c r="G85" s="0" t="n">
        <f aca="false">MIN(F85/E85,1)</f>
        <v>0.0201587301587302</v>
      </c>
      <c r="H85" s="0" t="n">
        <f aca="false">IF(G85&gt;=0.8,1,0)</f>
        <v>0</v>
      </c>
    </row>
    <row r="86" customFormat="false" ht="15" hidden="false" customHeight="false" outlineLevel="0" collapsed="false">
      <c r="A86" s="0" t="n">
        <v>240081</v>
      </c>
      <c r="B86" s="0" t="s">
        <v>32</v>
      </c>
      <c r="C86" s="0" t="n">
        <v>5</v>
      </c>
      <c r="D86" s="0" t="s">
        <v>149</v>
      </c>
      <c r="E86" s="0" t="n">
        <v>300</v>
      </c>
      <c r="F86" s="0" t="n">
        <v>72</v>
      </c>
      <c r="G86" s="0" t="n">
        <f aca="false">MIN(F86/E86,1)</f>
        <v>0.24</v>
      </c>
      <c r="H86" s="0" t="n">
        <f aca="false">IF(G86&gt;=0.8,1,0)</f>
        <v>0</v>
      </c>
    </row>
    <row r="87" customFormat="false" ht="15" hidden="false" customHeight="false" outlineLevel="0" collapsed="false">
      <c r="A87" s="0" t="n">
        <v>240081</v>
      </c>
      <c r="B87" s="0" t="s">
        <v>32</v>
      </c>
      <c r="C87" s="0" t="n">
        <v>5</v>
      </c>
      <c r="D87" s="0" t="s">
        <v>150</v>
      </c>
      <c r="E87" s="0" t="n">
        <v>600</v>
      </c>
      <c r="F87" s="0" t="n">
        <v>600</v>
      </c>
      <c r="G87" s="0" t="n">
        <f aca="false">MIN(F87/E87,1)</f>
        <v>1</v>
      </c>
      <c r="H87" s="0" t="n">
        <f aca="false">IF(G87&gt;=0.8,1,0)</f>
        <v>1</v>
      </c>
    </row>
    <row r="88" customFormat="false" ht="15" hidden="false" customHeight="false" outlineLevel="0" collapsed="false">
      <c r="A88" s="0" t="n">
        <v>240081</v>
      </c>
      <c r="B88" s="0" t="s">
        <v>32</v>
      </c>
      <c r="C88" s="0" t="n">
        <v>5</v>
      </c>
      <c r="D88" s="0" t="s">
        <v>151</v>
      </c>
      <c r="E88" s="0" t="n">
        <v>300</v>
      </c>
      <c r="F88" s="0" t="n">
        <v>293</v>
      </c>
      <c r="G88" s="0" t="n">
        <f aca="false">MIN(F88/E88,1)</f>
        <v>0.976666666666667</v>
      </c>
      <c r="H88" s="0" t="n">
        <f aca="false">IF(G88&gt;=0.8,1,0)</f>
        <v>1</v>
      </c>
    </row>
    <row r="89" customFormat="false" ht="15" hidden="false" customHeight="false" outlineLevel="0" collapsed="false">
      <c r="A89" s="0" t="n">
        <v>2400508</v>
      </c>
      <c r="B89" s="0" t="s">
        <v>34</v>
      </c>
      <c r="C89" s="0" t="n">
        <v>108</v>
      </c>
      <c r="D89" s="0" t="s">
        <v>152</v>
      </c>
      <c r="E89" s="0" t="n">
        <v>900</v>
      </c>
      <c r="F89" s="0" t="n">
        <v>85</v>
      </c>
      <c r="G89" s="0" t="n">
        <f aca="false">MIN(F89/E89,1)</f>
        <v>0.0944444444444444</v>
      </c>
      <c r="H89" s="0" t="n">
        <f aca="false">IF(G89&gt;=0.8,1,0)</f>
        <v>0</v>
      </c>
    </row>
    <row r="90" customFormat="false" ht="15" hidden="false" customHeight="false" outlineLevel="0" collapsed="false">
      <c r="A90" s="0" t="n">
        <v>5900256</v>
      </c>
      <c r="B90" s="0" t="s">
        <v>46</v>
      </c>
      <c r="C90" s="0" t="n">
        <v>108</v>
      </c>
      <c r="D90" s="0" t="s">
        <v>153</v>
      </c>
      <c r="E90" s="0" t="n">
        <v>2700</v>
      </c>
      <c r="F90" s="0" t="n">
        <v>131</v>
      </c>
      <c r="G90" s="0" t="n">
        <f aca="false">MIN(F90/E90,1)</f>
        <v>0.0485185185185185</v>
      </c>
      <c r="H90" s="0" t="n">
        <f aca="false">IF(G90&gt;=0.8,1,0)</f>
        <v>0</v>
      </c>
    </row>
    <row r="91" customFormat="false" ht="15" hidden="false" customHeight="false" outlineLevel="0" collapsed="false">
      <c r="A91" s="0" t="n">
        <v>1100411</v>
      </c>
      <c r="B91" s="0" t="s">
        <v>36</v>
      </c>
      <c r="C91" s="0" t="n">
        <v>4</v>
      </c>
      <c r="D91" s="0" t="s">
        <v>154</v>
      </c>
      <c r="E91" s="0" t="n">
        <v>9900</v>
      </c>
      <c r="F91" s="0" t="n">
        <v>83</v>
      </c>
      <c r="G91" s="0" t="n">
        <f aca="false">MIN(F91/E91,1)</f>
        <v>0.00838383838383838</v>
      </c>
      <c r="H91" s="0" t="n">
        <f aca="false">IF(G91&gt;=0.8,1,0)</f>
        <v>0</v>
      </c>
    </row>
    <row r="92" customFormat="false" ht="15" hidden="false" customHeight="false" outlineLevel="0" collapsed="false">
      <c r="A92" s="0" t="n">
        <v>1100411</v>
      </c>
      <c r="B92" s="0" t="s">
        <v>36</v>
      </c>
      <c r="C92" s="0" t="n">
        <v>4</v>
      </c>
      <c r="D92" s="0" t="s">
        <v>155</v>
      </c>
      <c r="E92" s="0" t="n">
        <v>9900</v>
      </c>
      <c r="F92" s="0" t="n">
        <v>5170</v>
      </c>
      <c r="G92" s="0" t="n">
        <f aca="false">MIN(F92/E92,1)</f>
        <v>0.522222222222222</v>
      </c>
      <c r="H92" s="0" t="n">
        <f aca="false">IF(G92&gt;=0.8,1,0)</f>
        <v>0</v>
      </c>
    </row>
    <row r="93" customFormat="false" ht="15" hidden="false" customHeight="false" outlineLevel="0" collapsed="false">
      <c r="A93" s="0" t="n">
        <v>2400467</v>
      </c>
      <c r="B93" s="0" t="s">
        <v>30</v>
      </c>
      <c r="C93" s="0" t="n">
        <v>6</v>
      </c>
      <c r="D93" s="0" t="s">
        <v>156</v>
      </c>
      <c r="E93" s="0" t="n">
        <v>1200</v>
      </c>
      <c r="F93" s="0" t="n">
        <v>289</v>
      </c>
      <c r="G93" s="0" t="n">
        <f aca="false">MIN(F93/E93,1)</f>
        <v>0.240833333333333</v>
      </c>
      <c r="H93" s="0" t="n">
        <f aca="false">IF(G93&gt;=0.8,1,0)</f>
        <v>0</v>
      </c>
    </row>
    <row r="94" customFormat="false" ht="15" hidden="false" customHeight="false" outlineLevel="0" collapsed="false">
      <c r="A94" s="0" t="n">
        <v>1100411</v>
      </c>
      <c r="B94" s="0" t="s">
        <v>36</v>
      </c>
      <c r="C94" s="0" t="n">
        <v>4</v>
      </c>
      <c r="D94" s="0" t="s">
        <v>157</v>
      </c>
      <c r="E94" s="0" t="n">
        <v>3900</v>
      </c>
      <c r="F94" s="0" t="n">
        <v>301</v>
      </c>
      <c r="G94" s="0" t="n">
        <f aca="false">MIN(F94/E94,1)</f>
        <v>0.0771794871794872</v>
      </c>
      <c r="H94" s="0" t="n">
        <f aca="false">IF(G94&gt;=0.8,1,0)</f>
        <v>0</v>
      </c>
    </row>
    <row r="95" customFormat="false" ht="15" hidden="false" customHeight="false" outlineLevel="0" collapsed="false">
      <c r="A95" s="0" t="n">
        <v>90076899</v>
      </c>
      <c r="B95" s="0" t="s">
        <v>158</v>
      </c>
      <c r="C95" s="0" t="n">
        <v>5</v>
      </c>
      <c r="D95" s="0" t="s">
        <v>159</v>
      </c>
      <c r="E95" s="0" t="n">
        <v>6900</v>
      </c>
      <c r="F95" s="0" t="n">
        <v>170</v>
      </c>
      <c r="G95" s="0" t="n">
        <f aca="false">MIN(F95/E95,1)</f>
        <v>0.0246376811594203</v>
      </c>
      <c r="H95" s="0" t="n">
        <f aca="false">IF(G95&gt;=0.8,1,0)</f>
        <v>0</v>
      </c>
    </row>
    <row r="96" customFormat="false" ht="15" hidden="false" customHeight="false" outlineLevel="0" collapsed="false">
      <c r="A96" s="0" t="n">
        <v>2400467</v>
      </c>
      <c r="B96" s="0" t="s">
        <v>30</v>
      </c>
      <c r="C96" s="0" t="n">
        <v>6</v>
      </c>
      <c r="D96" s="0" t="s">
        <v>160</v>
      </c>
      <c r="E96" s="0" t="n">
        <v>2700</v>
      </c>
      <c r="F96" s="0" t="n">
        <v>1928</v>
      </c>
      <c r="G96" s="0" t="n">
        <f aca="false">MIN(F96/E96,1)</f>
        <v>0.714074074074074</v>
      </c>
      <c r="H96" s="0" t="n">
        <f aca="false">IF(G96&gt;=0.8,1,0)</f>
        <v>0</v>
      </c>
    </row>
    <row r="97" customFormat="false" ht="15" hidden="false" customHeight="false" outlineLevel="0" collapsed="false">
      <c r="A97" s="0" t="n">
        <v>240081</v>
      </c>
      <c r="B97" s="0" t="s">
        <v>32</v>
      </c>
      <c r="C97" s="0" t="n">
        <v>5</v>
      </c>
      <c r="D97" s="0" t="s">
        <v>161</v>
      </c>
      <c r="E97" s="0" t="n">
        <v>1500</v>
      </c>
      <c r="F97" s="0" t="n">
        <v>1500</v>
      </c>
      <c r="G97" s="0" t="n">
        <f aca="false">MIN(F97/E97,1)</f>
        <v>1</v>
      </c>
      <c r="H97" s="0" t="n">
        <f aca="false">IF(G97&gt;=0.8,1,0)</f>
        <v>1</v>
      </c>
    </row>
    <row r="98" customFormat="false" ht="15" hidden="false" customHeight="false" outlineLevel="0" collapsed="false">
      <c r="A98" s="0" t="n">
        <v>500281</v>
      </c>
      <c r="B98" s="0" t="s">
        <v>162</v>
      </c>
      <c r="C98" s="0" t="n">
        <v>108</v>
      </c>
      <c r="D98" s="0" t="s">
        <v>163</v>
      </c>
      <c r="E98" s="0" t="n">
        <v>3000</v>
      </c>
      <c r="F98" s="0" t="n">
        <v>247</v>
      </c>
      <c r="G98" s="0" t="n">
        <f aca="false">MIN(F98/E98,1)</f>
        <v>0.0823333333333333</v>
      </c>
      <c r="H98" s="0" t="n">
        <f aca="false">IF(G98&gt;=0.8,1,0)</f>
        <v>0</v>
      </c>
    </row>
    <row r="99" customFormat="false" ht="15" hidden="false" customHeight="false" outlineLevel="0" collapsed="false">
      <c r="A99" s="0" t="n">
        <v>500346</v>
      </c>
      <c r="B99" s="0" t="s">
        <v>164</v>
      </c>
      <c r="C99" s="0" t="n">
        <v>3</v>
      </c>
      <c r="D99" s="0" t="s">
        <v>165</v>
      </c>
      <c r="E99" s="0" t="n">
        <v>8100</v>
      </c>
      <c r="F99" s="0" t="n">
        <v>235</v>
      </c>
      <c r="G99" s="0" t="n">
        <f aca="false">MIN(F99/E99,1)</f>
        <v>0.0290123456790123</v>
      </c>
      <c r="H99" s="0" t="n">
        <f aca="false">IF(G99&gt;=0.8,1,0)</f>
        <v>0</v>
      </c>
    </row>
    <row r="100" customFormat="false" ht="15" hidden="false" customHeight="false" outlineLevel="0" collapsed="false">
      <c r="A100" s="0" t="n">
        <v>90065489</v>
      </c>
      <c r="B100" s="0" t="s">
        <v>166</v>
      </c>
      <c r="C100" s="0" t="n">
        <v>5</v>
      </c>
      <c r="D100" s="0" t="s">
        <v>167</v>
      </c>
      <c r="E100" s="0" t="n">
        <v>6300</v>
      </c>
      <c r="F100" s="0" t="n">
        <v>76</v>
      </c>
      <c r="G100" s="0" t="n">
        <f aca="false">MIN(F100/E100,1)</f>
        <v>0.0120634920634921</v>
      </c>
      <c r="H100" s="0" t="n">
        <f aca="false">IF(G100&gt;=0.8,1,0)</f>
        <v>0</v>
      </c>
    </row>
    <row r="101" customFormat="false" ht="15" hidden="false" customHeight="false" outlineLevel="0" collapsed="false">
      <c r="A101" s="0" t="n">
        <v>5200303</v>
      </c>
      <c r="B101" s="0" t="s">
        <v>39</v>
      </c>
      <c r="C101" s="0" t="n">
        <v>4</v>
      </c>
      <c r="D101" s="0" t="s">
        <v>168</v>
      </c>
      <c r="E101" s="0" t="n">
        <v>5700</v>
      </c>
      <c r="F101" s="0" t="n">
        <v>4653</v>
      </c>
      <c r="G101" s="0" t="n">
        <f aca="false">MIN(F101/E101,1)</f>
        <v>0.816315789473684</v>
      </c>
      <c r="H101" s="0" t="n">
        <f aca="false">IF(G101&gt;=0.8,1,0)</f>
        <v>1</v>
      </c>
    </row>
    <row r="102" customFormat="false" ht="15" hidden="false" customHeight="false" outlineLevel="0" collapsed="false">
      <c r="A102" s="0" t="n">
        <v>5900256</v>
      </c>
      <c r="B102" s="0" t="s">
        <v>46</v>
      </c>
      <c r="C102" s="0" t="n">
        <v>108</v>
      </c>
      <c r="D102" s="0" t="s">
        <v>169</v>
      </c>
      <c r="E102" s="0" t="n">
        <v>1800</v>
      </c>
      <c r="F102" s="0" t="n">
        <v>64</v>
      </c>
      <c r="G102" s="0" t="n">
        <f aca="false">MIN(F102/E102,1)</f>
        <v>0.0355555555555556</v>
      </c>
      <c r="H102" s="0" t="n">
        <f aca="false">IF(G102&gt;=0.8,1,0)</f>
        <v>0</v>
      </c>
    </row>
    <row r="103" customFormat="false" ht="15" hidden="false" customHeight="false" outlineLevel="0" collapsed="false">
      <c r="A103" s="0" t="n">
        <v>5900256</v>
      </c>
      <c r="B103" s="0" t="s">
        <v>46</v>
      </c>
      <c r="C103" s="0" t="n">
        <v>108</v>
      </c>
      <c r="D103" s="0" t="s">
        <v>170</v>
      </c>
      <c r="E103" s="0" t="n">
        <v>3000</v>
      </c>
      <c r="F103" s="0" t="n">
        <v>905</v>
      </c>
      <c r="G103" s="0" t="n">
        <f aca="false">MIN(F103/E103,1)</f>
        <v>0.301666666666667</v>
      </c>
      <c r="H103" s="0" t="n">
        <f aca="false">IF(G103&gt;=0.8,1,0)</f>
        <v>0</v>
      </c>
    </row>
    <row r="104" customFormat="false" ht="15" hidden="false" customHeight="false" outlineLevel="0" collapsed="false">
      <c r="A104" s="0" t="n">
        <v>2400508</v>
      </c>
      <c r="B104" s="0" t="s">
        <v>34</v>
      </c>
      <c r="C104" s="0" t="n">
        <v>108</v>
      </c>
      <c r="D104" s="0" t="s">
        <v>171</v>
      </c>
      <c r="E104" s="0" t="n">
        <v>900</v>
      </c>
      <c r="F104" s="0" t="n">
        <v>1101</v>
      </c>
      <c r="G104" s="0" t="n">
        <f aca="false">MIN(F104/E104,1)</f>
        <v>1</v>
      </c>
      <c r="H104" s="0" t="n">
        <f aca="false">IF(G104&gt;=0.8,1,0)</f>
        <v>1</v>
      </c>
    </row>
    <row r="105" customFormat="false" ht="15" hidden="false" customHeight="false" outlineLevel="0" collapsed="false">
      <c r="A105" s="0" t="n">
        <v>5900256</v>
      </c>
      <c r="B105" s="0" t="s">
        <v>46</v>
      </c>
      <c r="C105" s="0" t="n">
        <v>108</v>
      </c>
      <c r="D105" s="0" t="s">
        <v>172</v>
      </c>
      <c r="E105" s="0" t="n">
        <v>2700</v>
      </c>
      <c r="F105" s="0" t="n">
        <v>2152</v>
      </c>
      <c r="G105" s="0" t="n">
        <f aca="false">MIN(F105/E105,1)</f>
        <v>0.797037037037037</v>
      </c>
      <c r="H105" s="0" t="n">
        <f aca="false">IF(G105&gt;=0.8,1,0)</f>
        <v>0</v>
      </c>
    </row>
    <row r="106" customFormat="false" ht="15" hidden="false" customHeight="false" outlineLevel="0" collapsed="false">
      <c r="A106" s="0" t="n">
        <v>90054583</v>
      </c>
      <c r="B106" s="0" t="s">
        <v>173</v>
      </c>
      <c r="C106" s="0" t="n">
        <v>1519</v>
      </c>
      <c r="D106" s="0" t="s">
        <v>174</v>
      </c>
      <c r="E106" s="0" t="n">
        <v>6000</v>
      </c>
      <c r="F106" s="0" t="n">
        <v>2667</v>
      </c>
      <c r="G106" s="0" t="n">
        <f aca="false">MIN(F106/E106,1)</f>
        <v>0.4445</v>
      </c>
      <c r="H106" s="0" t="n">
        <f aca="false">IF(G106&gt;=0.8,1,0)</f>
        <v>0</v>
      </c>
    </row>
    <row r="107" customFormat="false" ht="15" hidden="false" customHeight="false" outlineLevel="0" collapsed="false">
      <c r="A107" s="0" t="n">
        <v>90077931</v>
      </c>
      <c r="B107" s="0" t="s">
        <v>175</v>
      </c>
      <c r="C107" s="0" t="n">
        <v>1516</v>
      </c>
      <c r="D107" s="0" t="s">
        <v>176</v>
      </c>
      <c r="E107" s="0" t="n">
        <v>6300</v>
      </c>
      <c r="F107" s="0" t="n">
        <v>2159</v>
      </c>
      <c r="G107" s="0" t="n">
        <f aca="false">MIN(F107/E107,1)</f>
        <v>0.342698412698413</v>
      </c>
      <c r="H107" s="0" t="n">
        <f aca="false">IF(G107&gt;=0.8,1,0)</f>
        <v>0</v>
      </c>
    </row>
    <row r="108" customFormat="false" ht="15" hidden="false" customHeight="false" outlineLevel="0" collapsed="false">
      <c r="A108" s="0" t="n">
        <v>90081922</v>
      </c>
      <c r="B108" s="0" t="s">
        <v>177</v>
      </c>
      <c r="C108" s="0" t="n">
        <v>4</v>
      </c>
      <c r="D108" s="0" t="s">
        <v>178</v>
      </c>
      <c r="E108" s="0" t="n">
        <v>9000</v>
      </c>
      <c r="F108" s="0" t="n">
        <v>874</v>
      </c>
      <c r="G108" s="0" t="n">
        <f aca="false">MIN(F108/E108,1)</f>
        <v>0.0971111111111111</v>
      </c>
      <c r="H108" s="0" t="n">
        <f aca="false">IF(G108&gt;=0.8,1,0)</f>
        <v>0</v>
      </c>
    </row>
    <row r="109" customFormat="false" ht="15" hidden="false" customHeight="false" outlineLevel="0" collapsed="false">
      <c r="A109" s="0" t="n">
        <v>90043765</v>
      </c>
      <c r="B109" s="0" t="s">
        <v>179</v>
      </c>
      <c r="C109" s="0" t="n">
        <v>92</v>
      </c>
      <c r="D109" s="0" t="s">
        <v>180</v>
      </c>
      <c r="E109" s="0" t="n">
        <v>5700</v>
      </c>
      <c r="F109" s="0" t="n">
        <v>305</v>
      </c>
      <c r="G109" s="0" t="n">
        <f aca="false">MIN(F109/E109,1)</f>
        <v>0.0535087719298246</v>
      </c>
      <c r="H109" s="0" t="n">
        <f aca="false">IF(G109&gt;=0.8,1,0)</f>
        <v>0</v>
      </c>
    </row>
    <row r="110" customFormat="false" ht="15" hidden="false" customHeight="false" outlineLevel="0" collapsed="false">
      <c r="A110" s="0" t="n">
        <v>90025676</v>
      </c>
      <c r="B110" s="0" t="s">
        <v>181</v>
      </c>
      <c r="C110" s="0" t="n">
        <v>92</v>
      </c>
      <c r="D110" s="0" t="s">
        <v>182</v>
      </c>
      <c r="E110" s="0" t="n">
        <v>7200</v>
      </c>
      <c r="F110" s="0" t="n">
        <v>308</v>
      </c>
      <c r="G110" s="0" t="n">
        <f aca="false">MIN(F110/E110,1)</f>
        <v>0.0427777777777778</v>
      </c>
      <c r="H110" s="0" t="n">
        <f aca="false">IF(G110&gt;=0.8,1,0)</f>
        <v>0</v>
      </c>
    </row>
    <row r="111" customFormat="false" ht="15" hidden="false" customHeight="false" outlineLevel="0" collapsed="false">
      <c r="A111" s="0" t="n">
        <v>5200303</v>
      </c>
      <c r="B111" s="0" t="s">
        <v>39</v>
      </c>
      <c r="C111" s="0" t="n">
        <v>4</v>
      </c>
      <c r="D111" s="0" t="s">
        <v>183</v>
      </c>
      <c r="E111" s="0" t="n">
        <v>5700</v>
      </c>
      <c r="F111" s="0" t="n">
        <v>1593</v>
      </c>
      <c r="G111" s="0" t="n">
        <f aca="false">MIN(F111/E111,1)</f>
        <v>0.279473684210526</v>
      </c>
      <c r="H111" s="0" t="n">
        <f aca="false">IF(G111&gt;=0.8,1,0)</f>
        <v>0</v>
      </c>
    </row>
    <row r="112" customFormat="false" ht="15" hidden="false" customHeight="false" outlineLevel="0" collapsed="false">
      <c r="A112" s="0" t="n">
        <v>90082254</v>
      </c>
      <c r="B112" s="0" t="s">
        <v>184</v>
      </c>
      <c r="C112" s="0" t="n">
        <v>1519</v>
      </c>
      <c r="D112" s="0" t="s">
        <v>185</v>
      </c>
      <c r="E112" s="0" t="n">
        <v>6300</v>
      </c>
      <c r="F112" s="0" t="n">
        <v>134</v>
      </c>
      <c r="G112" s="0" t="n">
        <f aca="false">MIN(F112/E112,1)</f>
        <v>0.0212698412698413</v>
      </c>
      <c r="H112" s="0" t="n">
        <f aca="false">IF(G112&gt;=0.8,1,0)</f>
        <v>0</v>
      </c>
    </row>
    <row r="113" customFormat="false" ht="15" hidden="false" customHeight="false" outlineLevel="0" collapsed="false">
      <c r="A113" s="0" t="n">
        <v>240081</v>
      </c>
      <c r="B113" s="0" t="s">
        <v>32</v>
      </c>
      <c r="C113" s="0" t="n">
        <v>5</v>
      </c>
      <c r="D113" s="0" t="s">
        <v>186</v>
      </c>
      <c r="E113" s="0" t="n">
        <v>300</v>
      </c>
      <c r="F113" s="0" t="n">
        <v>146</v>
      </c>
      <c r="G113" s="0" t="n">
        <f aca="false">MIN(F113/E113,1)</f>
        <v>0.486666666666667</v>
      </c>
      <c r="H113" s="0" t="n">
        <f aca="false">IF(G113&gt;=0.8,1,0)</f>
        <v>0</v>
      </c>
    </row>
    <row r="114" customFormat="false" ht="15" hidden="false" customHeight="false" outlineLevel="0" collapsed="false">
      <c r="A114" s="0" t="n">
        <v>1100411</v>
      </c>
      <c r="B114" s="0" t="s">
        <v>36</v>
      </c>
      <c r="C114" s="0" t="n">
        <v>4</v>
      </c>
      <c r="D114" s="0" t="s">
        <v>187</v>
      </c>
      <c r="E114" s="0" t="n">
        <v>9900</v>
      </c>
      <c r="F114" s="0" t="n">
        <v>6006</v>
      </c>
      <c r="G114" s="0" t="n">
        <f aca="false">MIN(F114/E114,1)</f>
        <v>0.606666666666667</v>
      </c>
      <c r="H114" s="0" t="n">
        <f aca="false">IF(G114&gt;=0.8,1,0)</f>
        <v>0</v>
      </c>
    </row>
    <row r="115" customFormat="false" ht="15" hidden="false" customHeight="false" outlineLevel="0" collapsed="false">
      <c r="A115" s="0" t="n">
        <v>1100411</v>
      </c>
      <c r="B115" s="0" t="s">
        <v>36</v>
      </c>
      <c r="C115" s="0" t="n">
        <v>4</v>
      </c>
      <c r="D115" s="0" t="s">
        <v>188</v>
      </c>
      <c r="E115" s="0" t="n">
        <v>3900</v>
      </c>
      <c r="F115" s="0" t="n">
        <v>3254</v>
      </c>
      <c r="G115" s="0" t="n">
        <f aca="false">MIN(F115/E115,1)</f>
        <v>0.834358974358974</v>
      </c>
      <c r="H115" s="0" t="n">
        <f aca="false">IF(G115&gt;=0.8,1,0)</f>
        <v>1</v>
      </c>
    </row>
    <row r="116" customFormat="false" ht="15" hidden="false" customHeight="false" outlineLevel="0" collapsed="false">
      <c r="A116" s="0" t="n">
        <v>2400480</v>
      </c>
      <c r="B116" s="0" t="s">
        <v>59</v>
      </c>
      <c r="C116" s="0" t="n">
        <v>3</v>
      </c>
      <c r="D116" s="0" t="s">
        <v>189</v>
      </c>
      <c r="E116" s="0" t="n">
        <v>1500</v>
      </c>
      <c r="F116" s="0" t="n">
        <v>307</v>
      </c>
      <c r="G116" s="0" t="n">
        <f aca="false">MIN(F116/E116,1)</f>
        <v>0.204666666666667</v>
      </c>
      <c r="H116" s="0" t="n">
        <f aca="false">IF(G116&gt;=0.8,1,0)</f>
        <v>0</v>
      </c>
    </row>
    <row r="117" customFormat="false" ht="15" hidden="false" customHeight="false" outlineLevel="0" collapsed="false">
      <c r="A117" s="0" t="n">
        <v>2400467</v>
      </c>
      <c r="B117" s="0" t="s">
        <v>30</v>
      </c>
      <c r="C117" s="0" t="n">
        <v>6</v>
      </c>
      <c r="D117" s="0" t="s">
        <v>190</v>
      </c>
      <c r="E117" s="0" t="n">
        <v>2400</v>
      </c>
      <c r="F117" s="0" t="n">
        <v>2039</v>
      </c>
      <c r="G117" s="0" t="n">
        <f aca="false">MIN(F117/E117,1)</f>
        <v>0.849583333333333</v>
      </c>
      <c r="H117" s="0" t="n">
        <f aca="false">IF(G117&gt;=0.8,1,0)</f>
        <v>1</v>
      </c>
    </row>
    <row r="118" customFormat="false" ht="15" hidden="false" customHeight="false" outlineLevel="0" collapsed="false">
      <c r="A118" s="0" t="n">
        <v>240081</v>
      </c>
      <c r="B118" s="0" t="s">
        <v>32</v>
      </c>
      <c r="C118" s="0" t="n">
        <v>5</v>
      </c>
      <c r="D118" s="0" t="s">
        <v>191</v>
      </c>
      <c r="E118" s="0" t="n">
        <v>1500</v>
      </c>
      <c r="F118" s="0" t="n">
        <v>521</v>
      </c>
      <c r="G118" s="0" t="n">
        <f aca="false">MIN(F118/E118,1)</f>
        <v>0.347333333333333</v>
      </c>
      <c r="H118" s="0" t="n">
        <f aca="false">IF(G118&gt;=0.8,1,0)</f>
        <v>0</v>
      </c>
    </row>
    <row r="119" customFormat="false" ht="15" hidden="false" customHeight="false" outlineLevel="0" collapsed="false">
      <c r="A119" s="0" t="n">
        <v>2400480</v>
      </c>
      <c r="B119" s="0" t="s">
        <v>59</v>
      </c>
      <c r="C119" s="0" t="n">
        <v>3</v>
      </c>
      <c r="D119" s="0" t="s">
        <v>192</v>
      </c>
      <c r="E119" s="0" t="n">
        <v>4500</v>
      </c>
      <c r="F119" s="0" t="n">
        <v>1491</v>
      </c>
      <c r="G119" s="0" t="n">
        <f aca="false">MIN(F119/E119,1)</f>
        <v>0.331333333333333</v>
      </c>
      <c r="H119" s="0" t="n">
        <f aca="false">IF(G119&gt;=0.8,1,0)</f>
        <v>0</v>
      </c>
    </row>
    <row r="120" customFormat="false" ht="15" hidden="false" customHeight="false" outlineLevel="0" collapsed="false">
      <c r="A120" s="0" t="n">
        <v>90053172</v>
      </c>
      <c r="B120" s="0" t="s">
        <v>193</v>
      </c>
      <c r="C120" s="0" t="n">
        <v>1520</v>
      </c>
      <c r="D120" s="0" t="s">
        <v>194</v>
      </c>
      <c r="E120" s="0" t="n">
        <v>5700</v>
      </c>
      <c r="F120" s="0" t="n">
        <v>119</v>
      </c>
      <c r="G120" s="0" t="n">
        <f aca="false">MIN(F120/E120,1)</f>
        <v>0.0208771929824561</v>
      </c>
      <c r="H120" s="0" t="n">
        <f aca="false">IF(G120&gt;=0.8,1,0)</f>
        <v>0</v>
      </c>
    </row>
    <row r="121" customFormat="false" ht="15" hidden="false" customHeight="false" outlineLevel="0" collapsed="false">
      <c r="A121" s="0" t="n">
        <v>240081</v>
      </c>
      <c r="B121" s="0" t="s">
        <v>32</v>
      </c>
      <c r="C121" s="0" t="n">
        <v>5</v>
      </c>
      <c r="D121" s="0" t="s">
        <v>195</v>
      </c>
      <c r="E121" s="0" t="n">
        <v>1200</v>
      </c>
      <c r="F121" s="0" t="n">
        <v>70</v>
      </c>
      <c r="G121" s="0" t="n">
        <f aca="false">MIN(F121/E121,1)</f>
        <v>0.0583333333333333</v>
      </c>
      <c r="H121" s="0" t="n">
        <f aca="false">IF(G121&gt;=0.8,1,0)</f>
        <v>0</v>
      </c>
    </row>
    <row r="122" customFormat="false" ht="15" hidden="false" customHeight="false" outlineLevel="0" collapsed="false">
      <c r="A122" s="0" t="n">
        <v>90071919</v>
      </c>
      <c r="B122" s="0" t="s">
        <v>196</v>
      </c>
      <c r="C122" s="0" t="n">
        <v>1516</v>
      </c>
      <c r="D122" s="0" t="s">
        <v>197</v>
      </c>
      <c r="E122" s="0" t="n">
        <v>7200</v>
      </c>
      <c r="F122" s="0" t="n">
        <v>822</v>
      </c>
      <c r="G122" s="0" t="n">
        <f aca="false">MIN(F122/E122,1)</f>
        <v>0.114166666666667</v>
      </c>
      <c r="H122" s="0" t="n">
        <f aca="false">IF(G122&gt;=0.8,1,0)</f>
        <v>0</v>
      </c>
    </row>
    <row r="123" customFormat="false" ht="15" hidden="false" customHeight="false" outlineLevel="0" collapsed="false">
      <c r="A123" s="0" t="n">
        <v>5200303</v>
      </c>
      <c r="B123" s="0" t="s">
        <v>39</v>
      </c>
      <c r="C123" s="0" t="n">
        <v>4</v>
      </c>
      <c r="D123" s="0" t="s">
        <v>198</v>
      </c>
      <c r="E123" s="0" t="n">
        <v>5700</v>
      </c>
      <c r="F123" s="0" t="n">
        <v>4463</v>
      </c>
      <c r="G123" s="0" t="n">
        <f aca="false">MIN(F123/E123,1)</f>
        <v>0.782982456140351</v>
      </c>
      <c r="H123" s="0" t="n">
        <f aca="false">IF(G123&gt;=0.8,1,0)</f>
        <v>0</v>
      </c>
    </row>
    <row r="124" customFormat="false" ht="15" hidden="false" customHeight="false" outlineLevel="0" collapsed="false">
      <c r="A124" s="0" t="n">
        <v>90082350</v>
      </c>
      <c r="B124" s="0" t="s">
        <v>199</v>
      </c>
      <c r="C124" s="0" t="n">
        <v>1528</v>
      </c>
      <c r="D124" s="0" t="s">
        <v>200</v>
      </c>
      <c r="E124" s="0" t="n">
        <v>6600</v>
      </c>
      <c r="F124" s="0" t="n">
        <v>149</v>
      </c>
      <c r="G124" s="0" t="n">
        <f aca="false">MIN(F124/E124,1)</f>
        <v>0.0225757575757576</v>
      </c>
      <c r="H124" s="0" t="n">
        <f aca="false">IF(G124&gt;=0.8,1,0)</f>
        <v>0</v>
      </c>
    </row>
    <row r="125" customFormat="false" ht="15" hidden="false" customHeight="false" outlineLevel="0" collapsed="false">
      <c r="A125" s="0" t="n">
        <v>200405</v>
      </c>
      <c r="B125" s="0" t="s">
        <v>62</v>
      </c>
      <c r="C125" s="0" t="n">
        <v>843</v>
      </c>
      <c r="D125" s="0" t="s">
        <v>201</v>
      </c>
      <c r="E125" s="0" t="n">
        <v>3600</v>
      </c>
      <c r="F125" s="0" t="n">
        <v>1347</v>
      </c>
      <c r="G125" s="0" t="n">
        <f aca="false">MIN(F125/E125,1)</f>
        <v>0.374166666666667</v>
      </c>
      <c r="H125" s="0" t="n">
        <f aca="false">IF(G125&gt;=0.8,1,0)</f>
        <v>0</v>
      </c>
    </row>
    <row r="126" customFormat="false" ht="15" hidden="false" customHeight="false" outlineLevel="0" collapsed="false">
      <c r="A126" s="0" t="n">
        <v>2400480</v>
      </c>
      <c r="B126" s="0" t="s">
        <v>59</v>
      </c>
      <c r="C126" s="0" t="n">
        <v>3</v>
      </c>
      <c r="D126" s="0" t="s">
        <v>202</v>
      </c>
      <c r="E126" s="0" t="n">
        <v>4500</v>
      </c>
      <c r="F126" s="0" t="n">
        <v>123</v>
      </c>
      <c r="G126" s="0" t="n">
        <f aca="false">MIN(F126/E126,1)</f>
        <v>0.0273333333333333</v>
      </c>
      <c r="H126" s="0" t="n">
        <f aca="false">IF(G126&gt;=0.8,1,0)</f>
        <v>0</v>
      </c>
    </row>
    <row r="127" customFormat="false" ht="15" hidden="false" customHeight="false" outlineLevel="0" collapsed="false">
      <c r="A127" s="0" t="n">
        <v>90044218</v>
      </c>
      <c r="B127" s="0" t="s">
        <v>203</v>
      </c>
      <c r="C127" s="0" t="n">
        <v>1519</v>
      </c>
      <c r="D127" s="0" t="s">
        <v>204</v>
      </c>
      <c r="E127" s="0" t="n">
        <v>7200</v>
      </c>
      <c r="F127" s="0" t="n">
        <v>508</v>
      </c>
      <c r="G127" s="0" t="n">
        <f aca="false">MIN(F127/E127,1)</f>
        <v>0.0705555555555556</v>
      </c>
      <c r="H127" s="0" t="n">
        <f aca="false">IF(G127&gt;=0.8,1,0)</f>
        <v>0</v>
      </c>
    </row>
    <row r="128" customFormat="false" ht="15" hidden="false" customHeight="false" outlineLevel="0" collapsed="false">
      <c r="A128" s="0" t="n">
        <v>90041648</v>
      </c>
      <c r="B128" s="0" t="s">
        <v>205</v>
      </c>
      <c r="C128" s="0" t="n">
        <v>212</v>
      </c>
      <c r="D128" s="0" t="s">
        <v>206</v>
      </c>
      <c r="E128" s="0" t="n">
        <v>6300</v>
      </c>
      <c r="F128" s="0" t="n">
        <v>297</v>
      </c>
      <c r="G128" s="0" t="n">
        <f aca="false">MIN(F128/E128,1)</f>
        <v>0.0471428571428571</v>
      </c>
      <c r="H128" s="0" t="n">
        <f aca="false">IF(G128&gt;=0.8,1,0)</f>
        <v>0</v>
      </c>
    </row>
    <row r="129" customFormat="false" ht="15" hidden="false" customHeight="false" outlineLevel="0" collapsed="false">
      <c r="A129" s="0" t="n">
        <v>200405</v>
      </c>
      <c r="B129" s="0" t="s">
        <v>62</v>
      </c>
      <c r="C129" s="0" t="n">
        <v>843</v>
      </c>
      <c r="D129" s="0" t="s">
        <v>207</v>
      </c>
      <c r="E129" s="0" t="n">
        <v>3600</v>
      </c>
      <c r="F129" s="0" t="n">
        <v>602</v>
      </c>
      <c r="G129" s="0" t="n">
        <f aca="false">MIN(F129/E129,1)</f>
        <v>0.167222222222222</v>
      </c>
      <c r="H129" s="0" t="n">
        <f aca="false">IF(G129&gt;=0.8,1,0)</f>
        <v>0</v>
      </c>
    </row>
    <row r="130" customFormat="false" ht="15" hidden="false" customHeight="false" outlineLevel="0" collapsed="false">
      <c r="A130" s="0" t="n">
        <v>6500479</v>
      </c>
      <c r="B130" s="0" t="s">
        <v>121</v>
      </c>
      <c r="C130" s="0" t="n">
        <v>3</v>
      </c>
      <c r="D130" s="0" t="s">
        <v>208</v>
      </c>
      <c r="E130" s="0" t="n">
        <v>27000</v>
      </c>
      <c r="F130" s="0" t="n">
        <v>152</v>
      </c>
      <c r="G130" s="0" t="n">
        <f aca="false">MIN(F130/E130,1)</f>
        <v>0.00562962962962963</v>
      </c>
      <c r="H130" s="0" t="n">
        <f aca="false">IF(G130&gt;=0.8,1,0)</f>
        <v>0</v>
      </c>
    </row>
    <row r="131" customFormat="false" ht="15" hidden="false" customHeight="false" outlineLevel="0" collapsed="false">
      <c r="A131" s="0" t="n">
        <v>90014901</v>
      </c>
      <c r="B131" s="0" t="s">
        <v>209</v>
      </c>
      <c r="C131" s="0" t="n">
        <v>805</v>
      </c>
      <c r="D131" s="0" t="s">
        <v>210</v>
      </c>
      <c r="E131" s="0" t="n">
        <v>7800</v>
      </c>
      <c r="F131" s="0" t="n">
        <v>145</v>
      </c>
      <c r="G131" s="0" t="n">
        <f aca="false">MIN(F131/E131,1)</f>
        <v>0.0185897435897436</v>
      </c>
      <c r="H131" s="0" t="n">
        <f aca="false">IF(G131&gt;=0.8,1,0)</f>
        <v>0</v>
      </c>
    </row>
    <row r="132" customFormat="false" ht="15" hidden="false" customHeight="false" outlineLevel="0" collapsed="false">
      <c r="A132" s="0" t="n">
        <v>90080832</v>
      </c>
      <c r="B132" s="0" t="s">
        <v>211</v>
      </c>
      <c r="C132" s="0" t="n">
        <v>1521</v>
      </c>
      <c r="D132" s="0" t="s">
        <v>212</v>
      </c>
      <c r="E132" s="0" t="n">
        <v>6000</v>
      </c>
      <c r="F132" s="0" t="n">
        <v>529</v>
      </c>
      <c r="G132" s="0" t="n">
        <f aca="false">MIN(F132/E132,1)</f>
        <v>0.0881666666666667</v>
      </c>
      <c r="H132" s="0" t="n">
        <f aca="false">IF(G132&gt;=0.8,1,0)</f>
        <v>0</v>
      </c>
    </row>
    <row r="133" customFormat="false" ht="15" hidden="false" customHeight="false" outlineLevel="0" collapsed="false">
      <c r="A133" s="0" t="n">
        <v>2400508</v>
      </c>
      <c r="B133" s="0" t="s">
        <v>34</v>
      </c>
      <c r="C133" s="0" t="n">
        <v>108</v>
      </c>
      <c r="D133" s="0" t="s">
        <v>213</v>
      </c>
      <c r="E133" s="0" t="n">
        <v>1200</v>
      </c>
      <c r="F133" s="0" t="n">
        <v>45</v>
      </c>
      <c r="G133" s="0" t="n">
        <f aca="false">MIN(F133/E133,1)</f>
        <v>0.0375</v>
      </c>
      <c r="H133" s="0" t="n">
        <f aca="false">IF(G133&gt;=0.8,1,0)</f>
        <v>0</v>
      </c>
    </row>
    <row r="134" customFormat="false" ht="15" hidden="false" customHeight="false" outlineLevel="0" collapsed="false">
      <c r="A134" s="0" t="n">
        <v>2400480</v>
      </c>
      <c r="B134" s="0" t="s">
        <v>59</v>
      </c>
      <c r="C134" s="0" t="n">
        <v>740</v>
      </c>
      <c r="D134" s="0" t="s">
        <v>214</v>
      </c>
      <c r="E134" s="0" t="n">
        <v>3000</v>
      </c>
      <c r="F134" s="0" t="n">
        <v>68</v>
      </c>
      <c r="G134" s="0" t="n">
        <f aca="false">MIN(F134/E134,1)</f>
        <v>0.0226666666666667</v>
      </c>
      <c r="H134" s="0" t="n">
        <f aca="false">IF(G134&gt;=0.8,1,0)</f>
        <v>0</v>
      </c>
    </row>
    <row r="135" customFormat="false" ht="15" hidden="false" customHeight="false" outlineLevel="0" collapsed="false">
      <c r="A135" s="0" t="n">
        <v>90072572</v>
      </c>
      <c r="B135" s="0" t="s">
        <v>145</v>
      </c>
      <c r="C135" s="0" t="n">
        <v>1519</v>
      </c>
      <c r="D135" s="0" t="s">
        <v>215</v>
      </c>
      <c r="E135" s="0" t="n">
        <v>7200</v>
      </c>
      <c r="F135" s="0" t="n">
        <v>4154</v>
      </c>
      <c r="G135" s="0" t="n">
        <f aca="false">MIN(F135/E135,1)</f>
        <v>0.576944444444445</v>
      </c>
      <c r="H135" s="0" t="n">
        <f aca="false">IF(G135&gt;=0.8,1,0)</f>
        <v>0</v>
      </c>
    </row>
    <row r="136" customFormat="false" ht="15" hidden="false" customHeight="false" outlineLevel="0" collapsed="false">
      <c r="A136" s="0" t="n">
        <v>240081</v>
      </c>
      <c r="B136" s="0" t="s">
        <v>32</v>
      </c>
      <c r="C136" s="0" t="n">
        <v>5</v>
      </c>
      <c r="D136" s="0" t="s">
        <v>216</v>
      </c>
      <c r="E136" s="0" t="n">
        <v>1500</v>
      </c>
      <c r="F136" s="0" t="n">
        <v>1210</v>
      </c>
      <c r="G136" s="0" t="n">
        <f aca="false">MIN(F136/E136,1)</f>
        <v>0.806666666666667</v>
      </c>
      <c r="H136" s="0" t="n">
        <f aca="false">IF(G136&gt;=0.8,1,0)</f>
        <v>1</v>
      </c>
    </row>
    <row r="137" customFormat="false" ht="15" hidden="false" customHeight="false" outlineLevel="0" collapsed="false">
      <c r="A137" s="0" t="n">
        <v>2400508</v>
      </c>
      <c r="B137" s="0" t="s">
        <v>34</v>
      </c>
      <c r="C137" s="0" t="n">
        <v>108</v>
      </c>
      <c r="D137" s="0" t="s">
        <v>217</v>
      </c>
      <c r="E137" s="0" t="n">
        <v>3600</v>
      </c>
      <c r="F137" s="0" t="n">
        <v>705</v>
      </c>
      <c r="G137" s="0" t="n">
        <f aca="false">MIN(F137/E137,1)</f>
        <v>0.195833333333333</v>
      </c>
      <c r="H137" s="0" t="n">
        <f aca="false">IF(G137&gt;=0.8,1,0)</f>
        <v>0</v>
      </c>
    </row>
    <row r="138" customFormat="false" ht="15" hidden="false" customHeight="false" outlineLevel="0" collapsed="false">
      <c r="A138" s="0" t="n">
        <v>90057308</v>
      </c>
      <c r="B138" s="0" t="s">
        <v>218</v>
      </c>
      <c r="C138" s="0" t="n">
        <v>5</v>
      </c>
      <c r="D138" s="0" t="s">
        <v>219</v>
      </c>
      <c r="E138" s="0" t="n">
        <v>8700</v>
      </c>
      <c r="F138" s="0" t="n">
        <v>124</v>
      </c>
      <c r="G138" s="0" t="n">
        <f aca="false">MIN(F138/E138,1)</f>
        <v>0.0142528735632184</v>
      </c>
      <c r="H138" s="0" t="n">
        <f aca="false">IF(G138&gt;=0.8,1,0)</f>
        <v>0</v>
      </c>
    </row>
    <row r="139" customFormat="false" ht="15" hidden="false" customHeight="false" outlineLevel="0" collapsed="false">
      <c r="A139" s="0" t="n">
        <v>90068760</v>
      </c>
      <c r="B139" s="0" t="s">
        <v>220</v>
      </c>
      <c r="C139" s="0" t="n">
        <v>1519</v>
      </c>
      <c r="D139" s="0" t="s">
        <v>221</v>
      </c>
      <c r="E139" s="0" t="n">
        <v>5700</v>
      </c>
      <c r="F139" s="0" t="n">
        <v>80</v>
      </c>
      <c r="G139" s="0" t="n">
        <f aca="false">MIN(F139/E139,1)</f>
        <v>0.0140350877192982</v>
      </c>
      <c r="H139" s="0" t="n">
        <f aca="false">IF(G139&gt;=0.8,1,0)</f>
        <v>0</v>
      </c>
    </row>
    <row r="140" customFormat="false" ht="15" hidden="false" customHeight="false" outlineLevel="0" collapsed="false">
      <c r="A140" s="0" t="n">
        <v>2400480</v>
      </c>
      <c r="B140" s="0" t="s">
        <v>59</v>
      </c>
      <c r="C140" s="0" t="n">
        <v>3</v>
      </c>
      <c r="D140" s="0" t="s">
        <v>222</v>
      </c>
      <c r="E140" s="0" t="n">
        <v>2700</v>
      </c>
      <c r="F140" s="0" t="n">
        <v>282</v>
      </c>
      <c r="G140" s="0" t="n">
        <f aca="false">MIN(F140/E140,1)</f>
        <v>0.104444444444444</v>
      </c>
      <c r="H140" s="0" t="n">
        <f aca="false">IF(G140&gt;=0.8,1,0)</f>
        <v>0</v>
      </c>
    </row>
    <row r="141" customFormat="false" ht="15" hidden="false" customHeight="false" outlineLevel="0" collapsed="false">
      <c r="A141" s="0" t="n">
        <v>2500507</v>
      </c>
      <c r="B141" s="0" t="s">
        <v>113</v>
      </c>
      <c r="C141" s="0" t="n">
        <v>108</v>
      </c>
      <c r="D141" s="0" t="s">
        <v>223</v>
      </c>
      <c r="E141" s="0" t="n">
        <v>3600</v>
      </c>
      <c r="F141" s="0" t="n">
        <v>95</v>
      </c>
      <c r="G141" s="0" t="n">
        <f aca="false">MIN(F141/E141,1)</f>
        <v>0.0263888888888889</v>
      </c>
      <c r="H141" s="0" t="n">
        <f aca="false">IF(G141&gt;=0.8,1,0)</f>
        <v>0</v>
      </c>
    </row>
    <row r="142" customFormat="false" ht="15" hidden="false" customHeight="false" outlineLevel="0" collapsed="false">
      <c r="A142" s="0" t="n">
        <v>200352</v>
      </c>
      <c r="B142" s="0" t="s">
        <v>224</v>
      </c>
      <c r="C142" s="0" t="n">
        <v>3</v>
      </c>
      <c r="D142" s="0" t="s">
        <v>225</v>
      </c>
      <c r="E142" s="0" t="n">
        <v>10500</v>
      </c>
      <c r="F142" s="0" t="n">
        <v>207</v>
      </c>
      <c r="G142" s="0" t="n">
        <f aca="false">MIN(F142/E142,1)</f>
        <v>0.0197142857142857</v>
      </c>
      <c r="H142" s="0" t="n">
        <f aca="false">IF(G142&gt;=0.8,1,0)</f>
        <v>0</v>
      </c>
    </row>
    <row r="143" customFormat="false" ht="15" hidden="false" customHeight="false" outlineLevel="0" collapsed="false">
      <c r="A143" s="0" t="n">
        <v>90076295</v>
      </c>
      <c r="B143" s="0" t="s">
        <v>226</v>
      </c>
      <c r="C143" s="0" t="n">
        <v>5</v>
      </c>
      <c r="D143" s="0" t="s">
        <v>227</v>
      </c>
      <c r="E143" s="0" t="n">
        <v>6600</v>
      </c>
      <c r="F143" s="0" t="n">
        <v>449</v>
      </c>
      <c r="G143" s="0" t="n">
        <f aca="false">MIN(F143/E143,1)</f>
        <v>0.068030303030303</v>
      </c>
      <c r="H143" s="0" t="n">
        <f aca="false">IF(G143&gt;=0.8,1,0)</f>
        <v>0</v>
      </c>
    </row>
    <row r="144" customFormat="false" ht="15" hidden="false" customHeight="false" outlineLevel="0" collapsed="false">
      <c r="A144" s="0" t="n">
        <v>90063209</v>
      </c>
      <c r="B144" s="0" t="s">
        <v>228</v>
      </c>
      <c r="C144" s="0" t="n">
        <v>1519</v>
      </c>
      <c r="D144" s="0" t="s">
        <v>229</v>
      </c>
      <c r="E144" s="0" t="n">
        <v>6000</v>
      </c>
      <c r="F144" s="0" t="n">
        <v>646</v>
      </c>
      <c r="G144" s="0" t="n">
        <f aca="false">MIN(F144/E144,1)</f>
        <v>0.107666666666667</v>
      </c>
      <c r="H144" s="0" t="n">
        <f aca="false">IF(G144&gt;=0.8,1,0)</f>
        <v>0</v>
      </c>
    </row>
    <row r="145" customFormat="false" ht="15" hidden="false" customHeight="false" outlineLevel="0" collapsed="false">
      <c r="A145" s="0" t="n">
        <v>90056386</v>
      </c>
      <c r="B145" s="0" t="s">
        <v>230</v>
      </c>
      <c r="C145" s="0" t="n">
        <v>1516</v>
      </c>
      <c r="D145" s="0" t="s">
        <v>231</v>
      </c>
      <c r="E145" s="0" t="n">
        <v>5400</v>
      </c>
      <c r="F145" s="0" t="n">
        <v>140</v>
      </c>
      <c r="G145" s="0" t="n">
        <f aca="false">MIN(F145/E145,1)</f>
        <v>0.0259259259259259</v>
      </c>
      <c r="H145" s="0" t="n">
        <f aca="false">IF(G145&gt;=0.8,1,0)</f>
        <v>0</v>
      </c>
    </row>
    <row r="146" customFormat="false" ht="15" hidden="false" customHeight="false" outlineLevel="0" collapsed="false">
      <c r="A146" s="0" t="n">
        <v>90079132</v>
      </c>
      <c r="B146" s="0" t="s">
        <v>232</v>
      </c>
      <c r="C146" s="0" t="n">
        <v>1020</v>
      </c>
      <c r="D146" s="0" t="s">
        <v>231</v>
      </c>
      <c r="E146" s="0" t="n">
        <v>5400</v>
      </c>
      <c r="F146" s="0" t="n">
        <v>802</v>
      </c>
      <c r="G146" s="0" t="n">
        <f aca="false">MIN(F146/E146,1)</f>
        <v>0.148518518518519</v>
      </c>
      <c r="H146" s="0" t="n">
        <f aca="false">IF(G146&gt;=0.8,1,0)</f>
        <v>0</v>
      </c>
    </row>
    <row r="147" customFormat="false" ht="15" hidden="false" customHeight="false" outlineLevel="0" collapsed="false">
      <c r="A147" s="0" t="n">
        <v>90078767</v>
      </c>
      <c r="B147" s="0" t="s">
        <v>233</v>
      </c>
      <c r="C147" s="0" t="n">
        <v>7</v>
      </c>
      <c r="D147" s="0" t="s">
        <v>234</v>
      </c>
      <c r="E147" s="0" t="n">
        <v>9300</v>
      </c>
      <c r="F147" s="0" t="n">
        <v>4317</v>
      </c>
      <c r="G147" s="0" t="n">
        <f aca="false">MIN(F147/E147,1)</f>
        <v>0.464193548387097</v>
      </c>
      <c r="H147" s="0" t="n">
        <f aca="false">IF(G147&gt;=0.8,1,0)</f>
        <v>0</v>
      </c>
    </row>
    <row r="148" customFormat="false" ht="15" hidden="false" customHeight="false" outlineLevel="0" collapsed="false">
      <c r="A148" s="0" t="n">
        <v>90072474</v>
      </c>
      <c r="B148" s="0" t="s">
        <v>235</v>
      </c>
      <c r="C148" s="0" t="n">
        <v>1521</v>
      </c>
      <c r="D148" s="0" t="s">
        <v>236</v>
      </c>
      <c r="E148" s="0" t="n">
        <v>6900</v>
      </c>
      <c r="F148" s="0" t="n">
        <v>1403</v>
      </c>
      <c r="G148" s="0" t="n">
        <f aca="false">MIN(F148/E148,1)</f>
        <v>0.203333333333333</v>
      </c>
      <c r="H148" s="0" t="n">
        <f aca="false">IF(G148&gt;=0.8,1,0)</f>
        <v>0</v>
      </c>
    </row>
    <row r="149" customFormat="false" ht="15" hidden="false" customHeight="false" outlineLevel="0" collapsed="false">
      <c r="A149" s="0" t="n">
        <v>90074201</v>
      </c>
      <c r="B149" s="0" t="s">
        <v>237</v>
      </c>
      <c r="C149" s="0" t="n">
        <v>1020</v>
      </c>
      <c r="D149" s="0" t="s">
        <v>238</v>
      </c>
      <c r="E149" s="0" t="n">
        <v>6000</v>
      </c>
      <c r="F149" s="0" t="n">
        <v>36</v>
      </c>
      <c r="G149" s="0" t="n">
        <f aca="false">MIN(F149/E149,1)</f>
        <v>0.006</v>
      </c>
      <c r="H149" s="0" t="n">
        <f aca="false">IF(G149&gt;=0.8,1,0)</f>
        <v>0</v>
      </c>
    </row>
    <row r="150" customFormat="false" ht="15" hidden="false" customHeight="false" outlineLevel="0" collapsed="false">
      <c r="A150" s="0" t="n">
        <v>90070062</v>
      </c>
      <c r="B150" s="0" t="s">
        <v>239</v>
      </c>
      <c r="C150" s="0" t="n">
        <v>1521</v>
      </c>
      <c r="D150" s="0" t="s">
        <v>240</v>
      </c>
      <c r="E150" s="0" t="n">
        <v>6900</v>
      </c>
      <c r="F150" s="0" t="n">
        <v>324</v>
      </c>
      <c r="G150" s="0" t="n">
        <f aca="false">MIN(F150/E150,1)</f>
        <v>0.0469565217391304</v>
      </c>
      <c r="H150" s="0" t="n">
        <f aca="false">IF(G150&gt;=0.8,1,0)</f>
        <v>0</v>
      </c>
    </row>
    <row r="151" customFormat="false" ht="15" hidden="false" customHeight="false" outlineLevel="0" collapsed="false">
      <c r="A151" s="0" t="n">
        <v>9001437</v>
      </c>
      <c r="B151" s="0" t="s">
        <v>241</v>
      </c>
      <c r="C151" s="0" t="n">
        <v>805</v>
      </c>
      <c r="D151" s="0" t="s">
        <v>242</v>
      </c>
      <c r="E151" s="0" t="n">
        <v>5700</v>
      </c>
      <c r="F151" s="0" t="n">
        <v>3750</v>
      </c>
      <c r="G151" s="0" t="n">
        <f aca="false">MIN(F151/E151,1)</f>
        <v>0.657894736842105</v>
      </c>
      <c r="H151" s="0" t="n">
        <f aca="false">IF(G151&gt;=0.8,1,0)</f>
        <v>0</v>
      </c>
    </row>
    <row r="152" customFormat="false" ht="15" hidden="false" customHeight="false" outlineLevel="0" collapsed="false">
      <c r="A152" s="0" t="n">
        <v>90046080</v>
      </c>
      <c r="B152" s="0" t="s">
        <v>243</v>
      </c>
      <c r="C152" s="0" t="n">
        <v>805</v>
      </c>
      <c r="D152" s="0" t="s">
        <v>244</v>
      </c>
      <c r="E152" s="0" t="n">
        <v>10200</v>
      </c>
      <c r="F152" s="0" t="n">
        <v>8</v>
      </c>
      <c r="G152" s="0" t="n">
        <f aca="false">MIN(F152/E152,1)</f>
        <v>0.000784313725490196</v>
      </c>
      <c r="H152" s="0" t="n">
        <f aca="false">IF(G152&gt;=0.8,1,0)</f>
        <v>0</v>
      </c>
    </row>
    <row r="153" customFormat="false" ht="15" hidden="false" customHeight="false" outlineLevel="0" collapsed="false">
      <c r="A153" s="0" t="n">
        <v>1100411</v>
      </c>
      <c r="B153" s="0" t="s">
        <v>36</v>
      </c>
      <c r="C153" s="0" t="n">
        <v>4</v>
      </c>
      <c r="D153" s="0" t="s">
        <v>245</v>
      </c>
      <c r="E153" s="0" t="n">
        <v>9900</v>
      </c>
      <c r="F153" s="0" t="n">
        <v>3559</v>
      </c>
      <c r="G153" s="0" t="n">
        <f aca="false">MIN(F153/E153,1)</f>
        <v>0.35949494949495</v>
      </c>
      <c r="H153" s="0" t="n">
        <f aca="false">IF(G153&gt;=0.8,1,0)</f>
        <v>0</v>
      </c>
    </row>
    <row r="154" customFormat="false" ht="15" hidden="false" customHeight="false" outlineLevel="0" collapsed="false">
      <c r="A154" s="0" t="n">
        <v>2400508</v>
      </c>
      <c r="B154" s="0" t="s">
        <v>34</v>
      </c>
      <c r="C154" s="0" t="n">
        <v>108</v>
      </c>
      <c r="D154" s="0" t="s">
        <v>246</v>
      </c>
      <c r="E154" s="0" t="n">
        <v>1800</v>
      </c>
      <c r="F154" s="0" t="n">
        <v>80</v>
      </c>
      <c r="G154" s="0" t="n">
        <f aca="false">MIN(F154/E154,1)</f>
        <v>0.0444444444444444</v>
      </c>
      <c r="H154" s="0" t="n">
        <f aca="false">IF(G154&gt;=0.8,1,0)</f>
        <v>0</v>
      </c>
    </row>
    <row r="155" customFormat="false" ht="15" hidden="false" customHeight="false" outlineLevel="0" collapsed="false">
      <c r="A155" s="0" t="n">
        <v>1100411</v>
      </c>
      <c r="B155" s="0" t="s">
        <v>36</v>
      </c>
      <c r="C155" s="0" t="n">
        <v>4</v>
      </c>
      <c r="D155" s="0" t="s">
        <v>247</v>
      </c>
      <c r="E155" s="0" t="n">
        <v>3900</v>
      </c>
      <c r="F155" s="0" t="n">
        <v>2569</v>
      </c>
      <c r="G155" s="0" t="n">
        <f aca="false">MIN(F155/E155,1)</f>
        <v>0.658717948717949</v>
      </c>
      <c r="H155" s="0" t="n">
        <f aca="false">IF(G155&gt;=0.8,1,0)</f>
        <v>0</v>
      </c>
    </row>
    <row r="156" customFormat="false" ht="15" hidden="false" customHeight="false" outlineLevel="0" collapsed="false">
      <c r="A156" s="0" t="n">
        <v>240081</v>
      </c>
      <c r="B156" s="0" t="s">
        <v>32</v>
      </c>
      <c r="C156" s="0" t="n">
        <v>5</v>
      </c>
      <c r="D156" s="0" t="s">
        <v>248</v>
      </c>
      <c r="E156" s="0" t="n">
        <v>1800</v>
      </c>
      <c r="F156" s="0" t="n">
        <v>1409</v>
      </c>
      <c r="G156" s="0" t="n">
        <f aca="false">MIN(F156/E156,1)</f>
        <v>0.782777777777778</v>
      </c>
      <c r="H156" s="0" t="n">
        <f aca="false">IF(G156&gt;=0.8,1,0)</f>
        <v>0</v>
      </c>
    </row>
    <row r="157" customFormat="false" ht="15" hidden="false" customHeight="false" outlineLevel="0" collapsed="false">
      <c r="A157" s="0" t="n">
        <v>2500413</v>
      </c>
      <c r="B157" s="0" t="s">
        <v>55</v>
      </c>
      <c r="C157" s="0" t="n">
        <v>5</v>
      </c>
      <c r="D157" s="0" t="s">
        <v>249</v>
      </c>
      <c r="E157" s="0" t="n">
        <v>3000</v>
      </c>
      <c r="F157" s="0" t="n">
        <v>1454</v>
      </c>
      <c r="G157" s="0" t="n">
        <f aca="false">MIN(F157/E157,1)</f>
        <v>0.484666666666667</v>
      </c>
      <c r="H157" s="0" t="n">
        <f aca="false">IF(G157&gt;=0.8,1,0)</f>
        <v>0</v>
      </c>
    </row>
    <row r="158" customFormat="false" ht="15" hidden="false" customHeight="false" outlineLevel="0" collapsed="false">
      <c r="A158" s="0" t="n">
        <v>5200303</v>
      </c>
      <c r="B158" s="0" t="s">
        <v>39</v>
      </c>
      <c r="C158" s="0" t="n">
        <v>4</v>
      </c>
      <c r="D158" s="0" t="s">
        <v>250</v>
      </c>
      <c r="E158" s="0" t="n">
        <v>5700</v>
      </c>
      <c r="F158" s="0" t="n">
        <v>4609</v>
      </c>
      <c r="G158" s="0" t="n">
        <f aca="false">MIN(F158/E158,1)</f>
        <v>0.80859649122807</v>
      </c>
      <c r="H158" s="0" t="n">
        <f aca="false">IF(G158&gt;=0.8,1,0)</f>
        <v>1</v>
      </c>
    </row>
    <row r="159" customFormat="false" ht="15" hidden="false" customHeight="false" outlineLevel="0" collapsed="false">
      <c r="A159" s="0" t="n">
        <v>2400480</v>
      </c>
      <c r="B159" s="0" t="s">
        <v>59</v>
      </c>
      <c r="C159" s="0" t="n">
        <v>3</v>
      </c>
      <c r="D159" s="0" t="s">
        <v>251</v>
      </c>
      <c r="E159" s="0" t="n">
        <v>4200</v>
      </c>
      <c r="F159" s="0" t="n">
        <v>1332</v>
      </c>
      <c r="G159" s="0" t="n">
        <f aca="false">MIN(F159/E159,1)</f>
        <v>0.317142857142857</v>
      </c>
      <c r="H159" s="0" t="n">
        <f aca="false">IF(G159&gt;=0.8,1,0)</f>
        <v>0</v>
      </c>
    </row>
    <row r="160" customFormat="false" ht="15" hidden="false" customHeight="false" outlineLevel="0" collapsed="false">
      <c r="A160" s="0" t="n">
        <v>90074576</v>
      </c>
      <c r="B160" s="0" t="s">
        <v>252</v>
      </c>
      <c r="C160" s="0" t="n">
        <v>1521</v>
      </c>
      <c r="D160" s="0" t="s">
        <v>253</v>
      </c>
      <c r="E160" s="0" t="n">
        <v>5700</v>
      </c>
      <c r="F160" s="0" t="n">
        <v>2178</v>
      </c>
      <c r="G160" s="0" t="n">
        <f aca="false">MIN(F160/E160,1)</f>
        <v>0.382105263157895</v>
      </c>
      <c r="H160" s="0" t="n">
        <f aca="false">IF(G160&gt;=0.8,1,0)</f>
        <v>0</v>
      </c>
    </row>
    <row r="161" customFormat="false" ht="15" hidden="false" customHeight="false" outlineLevel="0" collapsed="false">
      <c r="A161" s="0" t="n">
        <v>90079532</v>
      </c>
      <c r="B161" s="0" t="s">
        <v>254</v>
      </c>
      <c r="C161" s="0" t="n">
        <v>805</v>
      </c>
      <c r="D161" s="0" t="s">
        <v>255</v>
      </c>
      <c r="E161" s="0" t="n">
        <v>5400</v>
      </c>
      <c r="F161" s="0" t="n">
        <v>97</v>
      </c>
      <c r="G161" s="0" t="n">
        <f aca="false">MIN(F161/E161,1)</f>
        <v>0.017962962962963</v>
      </c>
      <c r="H161" s="0" t="n">
        <f aca="false">IF(G161&gt;=0.8,1,0)</f>
        <v>0</v>
      </c>
    </row>
    <row r="162" customFormat="false" ht="15" hidden="false" customHeight="false" outlineLevel="0" collapsed="false">
      <c r="A162" s="0" t="n">
        <v>90048751</v>
      </c>
      <c r="B162" s="0" t="s">
        <v>256</v>
      </c>
      <c r="C162" s="0" t="n">
        <v>4</v>
      </c>
      <c r="D162" s="0" t="s">
        <v>257</v>
      </c>
      <c r="E162" s="0" t="n">
        <v>4800</v>
      </c>
      <c r="F162" s="0" t="n">
        <v>149</v>
      </c>
      <c r="G162" s="0" t="n">
        <f aca="false">MIN(F162/E162,1)</f>
        <v>0.0310416666666667</v>
      </c>
      <c r="H162" s="0" t="n">
        <f aca="false">IF(G162&gt;=0.8,1,0)</f>
        <v>0</v>
      </c>
    </row>
    <row r="163" customFormat="false" ht="15" hidden="false" customHeight="false" outlineLevel="0" collapsed="false">
      <c r="A163" s="0" t="n">
        <v>200352</v>
      </c>
      <c r="B163" s="0" t="s">
        <v>224</v>
      </c>
      <c r="C163" s="0" t="n">
        <v>3</v>
      </c>
      <c r="D163" s="0" t="s">
        <v>258</v>
      </c>
      <c r="E163" s="0" t="n">
        <v>10500</v>
      </c>
      <c r="F163" s="0" t="n">
        <v>174</v>
      </c>
      <c r="G163" s="0" t="n">
        <f aca="false">MIN(F163/E163,1)</f>
        <v>0.0165714285714286</v>
      </c>
      <c r="H163" s="0" t="n">
        <f aca="false">IF(G163&gt;=0.8,1,0)</f>
        <v>0</v>
      </c>
    </row>
    <row r="164" customFormat="false" ht="15" hidden="false" customHeight="false" outlineLevel="0" collapsed="false">
      <c r="A164" s="0" t="n">
        <v>1100411</v>
      </c>
      <c r="B164" s="0" t="s">
        <v>36</v>
      </c>
      <c r="C164" s="0" t="n">
        <v>4</v>
      </c>
      <c r="D164" s="0" t="s">
        <v>259</v>
      </c>
      <c r="E164" s="0" t="n">
        <v>6300</v>
      </c>
      <c r="F164" s="0" t="n">
        <v>95</v>
      </c>
      <c r="G164" s="0" t="n">
        <f aca="false">MIN(F164/E164,1)</f>
        <v>0.0150793650793651</v>
      </c>
      <c r="H164" s="0" t="n">
        <f aca="false">IF(G164&gt;=0.8,1,0)</f>
        <v>0</v>
      </c>
    </row>
    <row r="165" customFormat="false" ht="15" hidden="false" customHeight="false" outlineLevel="0" collapsed="false">
      <c r="A165" s="0" t="n">
        <v>90073000</v>
      </c>
      <c r="B165" s="0" t="s">
        <v>260</v>
      </c>
      <c r="C165" s="0" t="n">
        <v>1521</v>
      </c>
      <c r="D165" s="0" t="s">
        <v>261</v>
      </c>
      <c r="E165" s="0" t="n">
        <v>7800</v>
      </c>
      <c r="F165" s="0" t="n">
        <v>67</v>
      </c>
      <c r="G165" s="0" t="n">
        <f aca="false">MIN(F165/E165,1)</f>
        <v>0.00858974358974359</v>
      </c>
      <c r="H165" s="0" t="n">
        <f aca="false">IF(G165&gt;=0.8,1,0)</f>
        <v>0</v>
      </c>
    </row>
    <row r="166" customFormat="false" ht="15" hidden="false" customHeight="false" outlineLevel="0" collapsed="false">
      <c r="A166" s="0" t="n">
        <v>90060136</v>
      </c>
      <c r="B166" s="0" t="s">
        <v>262</v>
      </c>
      <c r="C166" s="0" t="n">
        <v>1521</v>
      </c>
      <c r="D166" s="0" t="s">
        <v>263</v>
      </c>
      <c r="E166" s="0" t="n">
        <v>7200</v>
      </c>
      <c r="F166" s="0" t="n">
        <v>122</v>
      </c>
      <c r="G166" s="0" t="n">
        <f aca="false">MIN(F166/E166,1)</f>
        <v>0.0169444444444444</v>
      </c>
      <c r="H166" s="0" t="n">
        <f aca="false">IF(G166&gt;=0.8,1,0)</f>
        <v>0</v>
      </c>
    </row>
    <row r="167" customFormat="false" ht="15" hidden="false" customHeight="false" outlineLevel="0" collapsed="false">
      <c r="A167" s="0" t="n">
        <v>90038939</v>
      </c>
      <c r="B167" s="0" t="s">
        <v>264</v>
      </c>
      <c r="C167" s="0" t="n">
        <v>212</v>
      </c>
      <c r="D167" s="0" t="s">
        <v>265</v>
      </c>
      <c r="E167" s="0" t="n">
        <v>9900</v>
      </c>
      <c r="F167" s="0" t="n">
        <v>2045</v>
      </c>
      <c r="G167" s="0" t="n">
        <f aca="false">MIN(F167/E167,1)</f>
        <v>0.206565656565657</v>
      </c>
      <c r="H167" s="0" t="n">
        <f aca="false">IF(G167&gt;=0.8,1,0)</f>
        <v>0</v>
      </c>
    </row>
    <row r="168" customFormat="false" ht="15" hidden="false" customHeight="false" outlineLevel="0" collapsed="false">
      <c r="A168" s="0" t="n">
        <v>90080526</v>
      </c>
      <c r="B168" s="0" t="s">
        <v>266</v>
      </c>
      <c r="C168" s="0" t="n">
        <v>5</v>
      </c>
      <c r="D168" s="0" t="s">
        <v>267</v>
      </c>
      <c r="E168" s="0" t="n">
        <v>5100</v>
      </c>
      <c r="F168" s="0" t="n">
        <v>361</v>
      </c>
      <c r="G168" s="0" t="n">
        <f aca="false">MIN(F168/E168,1)</f>
        <v>0.0707843137254902</v>
      </c>
      <c r="H168" s="0" t="n">
        <f aca="false">IF(G168&gt;=0.8,1,0)</f>
        <v>0</v>
      </c>
    </row>
    <row r="169" customFormat="false" ht="15" hidden="false" customHeight="false" outlineLevel="0" collapsed="false">
      <c r="A169" s="0" t="n">
        <v>2400480</v>
      </c>
      <c r="B169" s="0" t="s">
        <v>59</v>
      </c>
      <c r="C169" s="0" t="n">
        <v>3</v>
      </c>
      <c r="D169" s="0" t="s">
        <v>268</v>
      </c>
      <c r="E169" s="0" t="n">
        <v>4200</v>
      </c>
      <c r="F169" s="0" t="n">
        <v>556</v>
      </c>
      <c r="G169" s="0" t="n">
        <f aca="false">MIN(F169/E169,1)</f>
        <v>0.132380952380952</v>
      </c>
      <c r="H169" s="0" t="n">
        <f aca="false">IF(G169&gt;=0.8,1,0)</f>
        <v>0</v>
      </c>
    </row>
    <row r="170" customFormat="false" ht="15" hidden="false" customHeight="false" outlineLevel="0" collapsed="false">
      <c r="A170" s="0" t="n">
        <v>2400467</v>
      </c>
      <c r="B170" s="0" t="s">
        <v>30</v>
      </c>
      <c r="C170" s="0" t="n">
        <v>6</v>
      </c>
      <c r="D170" s="0" t="s">
        <v>269</v>
      </c>
      <c r="E170" s="0" t="n">
        <v>3000</v>
      </c>
      <c r="F170" s="0" t="n">
        <v>651</v>
      </c>
      <c r="G170" s="0" t="n">
        <f aca="false">MIN(F170/E170,1)</f>
        <v>0.217</v>
      </c>
      <c r="H170" s="0" t="n">
        <f aca="false">IF(G170&gt;=0.8,1,0)</f>
        <v>0</v>
      </c>
    </row>
    <row r="171" customFormat="false" ht="15" hidden="false" customHeight="false" outlineLevel="0" collapsed="false">
      <c r="A171" s="0" t="n">
        <v>90057846</v>
      </c>
      <c r="B171" s="0" t="s">
        <v>270</v>
      </c>
      <c r="C171" s="0" t="n">
        <v>805</v>
      </c>
      <c r="D171" s="0" t="s">
        <v>271</v>
      </c>
      <c r="E171" s="0" t="n">
        <v>8700</v>
      </c>
      <c r="F171" s="0" t="n">
        <v>97</v>
      </c>
      <c r="G171" s="0" t="n">
        <f aca="false">MIN(F171/E171,1)</f>
        <v>0.0111494252873563</v>
      </c>
      <c r="H171" s="0" t="n">
        <f aca="false">IF(G171&gt;=0.8,1,0)</f>
        <v>0</v>
      </c>
    </row>
    <row r="172" customFormat="false" ht="15" hidden="false" customHeight="false" outlineLevel="0" collapsed="false">
      <c r="A172" s="0" t="n">
        <v>2400508</v>
      </c>
      <c r="B172" s="0" t="s">
        <v>34</v>
      </c>
      <c r="C172" s="0" t="n">
        <v>108</v>
      </c>
      <c r="D172" s="0" t="s">
        <v>272</v>
      </c>
      <c r="E172" s="0" t="n">
        <v>1200</v>
      </c>
      <c r="F172" s="0" t="n">
        <v>119</v>
      </c>
      <c r="G172" s="0" t="n">
        <f aca="false">MIN(F172/E172,1)</f>
        <v>0.0991666666666667</v>
      </c>
      <c r="H172" s="0" t="n">
        <f aca="false">IF(G172&gt;=0.8,1,0)</f>
        <v>0</v>
      </c>
    </row>
    <row r="173" customFormat="false" ht="15" hidden="false" customHeight="false" outlineLevel="0" collapsed="false">
      <c r="A173" s="0" t="n">
        <v>240081</v>
      </c>
      <c r="B173" s="0" t="s">
        <v>32</v>
      </c>
      <c r="C173" s="0" t="n">
        <v>5</v>
      </c>
      <c r="D173" s="0" t="s">
        <v>273</v>
      </c>
      <c r="E173" s="0" t="n">
        <v>2400</v>
      </c>
      <c r="F173" s="0" t="n">
        <v>122</v>
      </c>
      <c r="G173" s="0" t="n">
        <f aca="false">MIN(F173/E173,1)</f>
        <v>0.0508333333333333</v>
      </c>
      <c r="H173" s="0" t="n">
        <f aca="false">IF(G173&gt;=0.8,1,0)</f>
        <v>0</v>
      </c>
    </row>
    <row r="174" customFormat="false" ht="15" hidden="false" customHeight="false" outlineLevel="0" collapsed="false">
      <c r="A174" s="0" t="n">
        <v>90065648</v>
      </c>
      <c r="B174" s="0" t="s">
        <v>274</v>
      </c>
      <c r="C174" s="0" t="n">
        <v>5</v>
      </c>
      <c r="D174" s="0" t="s">
        <v>275</v>
      </c>
      <c r="E174" s="0" t="n">
        <v>900</v>
      </c>
      <c r="F174" s="0" t="n">
        <v>184</v>
      </c>
      <c r="G174" s="0" t="n">
        <f aca="false">MIN(F174/E174,1)</f>
        <v>0.204444444444444</v>
      </c>
      <c r="H174" s="0" t="n">
        <f aca="false">IF(G174&gt;=0.8,1,0)</f>
        <v>0</v>
      </c>
    </row>
    <row r="175" customFormat="false" ht="15" hidden="false" customHeight="false" outlineLevel="0" collapsed="false">
      <c r="A175" s="0" t="n">
        <v>1100411</v>
      </c>
      <c r="B175" s="0" t="s">
        <v>36</v>
      </c>
      <c r="C175" s="0" t="n">
        <v>4</v>
      </c>
      <c r="D175" s="0" t="s">
        <v>276</v>
      </c>
      <c r="E175" s="0" t="n">
        <v>9900</v>
      </c>
      <c r="F175" s="0" t="n">
        <v>5222</v>
      </c>
      <c r="G175" s="0" t="n">
        <f aca="false">MIN(F175/E175,1)</f>
        <v>0.527474747474747</v>
      </c>
      <c r="H175" s="0" t="n">
        <f aca="false">IF(G175&gt;=0.8,1,0)</f>
        <v>0</v>
      </c>
    </row>
    <row r="176" customFormat="false" ht="15" hidden="false" customHeight="false" outlineLevel="0" collapsed="false">
      <c r="A176" s="0" t="n">
        <v>1100411</v>
      </c>
      <c r="B176" s="0" t="s">
        <v>36</v>
      </c>
      <c r="C176" s="0" t="n">
        <v>4</v>
      </c>
      <c r="D176" s="0" t="s">
        <v>277</v>
      </c>
      <c r="E176" s="0" t="n">
        <v>3900</v>
      </c>
      <c r="F176" s="0" t="n">
        <v>1867</v>
      </c>
      <c r="G176" s="0" t="n">
        <f aca="false">MIN(F176/E176,1)</f>
        <v>0.478717948717949</v>
      </c>
      <c r="H176" s="0" t="n">
        <f aca="false">IF(G176&gt;=0.8,1,0)</f>
        <v>0</v>
      </c>
    </row>
    <row r="177" customFormat="false" ht="15" hidden="false" customHeight="false" outlineLevel="0" collapsed="false">
      <c r="A177" s="0" t="n">
        <v>2400467</v>
      </c>
      <c r="B177" s="0" t="s">
        <v>30</v>
      </c>
      <c r="C177" s="0" t="n">
        <v>6</v>
      </c>
      <c r="D177" s="0" t="s">
        <v>278</v>
      </c>
      <c r="E177" s="0" t="n">
        <v>2700</v>
      </c>
      <c r="F177" s="0" t="n">
        <v>2610</v>
      </c>
      <c r="G177" s="0" t="n">
        <f aca="false">MIN(F177/E177,1)</f>
        <v>0.966666666666667</v>
      </c>
      <c r="H177" s="0" t="n">
        <f aca="false">IF(G177&gt;=0.8,1,0)</f>
        <v>1</v>
      </c>
    </row>
    <row r="178" customFormat="false" ht="15" hidden="false" customHeight="false" outlineLevel="0" collapsed="false">
      <c r="A178" s="0" t="n">
        <v>6200371</v>
      </c>
      <c r="B178" s="0" t="s">
        <v>279</v>
      </c>
      <c r="C178" s="0" t="n">
        <v>23</v>
      </c>
      <c r="D178" s="0" t="s">
        <v>280</v>
      </c>
      <c r="E178" s="0" t="n">
        <v>4500</v>
      </c>
      <c r="F178" s="0" t="n">
        <v>1312</v>
      </c>
      <c r="G178" s="0" t="n">
        <f aca="false">MIN(F178/E178,1)</f>
        <v>0.291555555555556</v>
      </c>
      <c r="H178" s="0" t="n">
        <f aca="false">IF(G178&gt;=0.8,1,0)</f>
        <v>0</v>
      </c>
    </row>
    <row r="179" customFormat="false" ht="15" hidden="false" customHeight="false" outlineLevel="0" collapsed="false">
      <c r="A179" s="0" t="n">
        <v>200405</v>
      </c>
      <c r="B179" s="0" t="s">
        <v>62</v>
      </c>
      <c r="C179" s="0" t="n">
        <v>843</v>
      </c>
      <c r="D179" s="0" t="s">
        <v>281</v>
      </c>
      <c r="E179" s="0" t="n">
        <v>15900</v>
      </c>
      <c r="F179" s="0" t="n">
        <v>2569</v>
      </c>
      <c r="G179" s="0" t="n">
        <f aca="false">MIN(F179/E179,1)</f>
        <v>0.161572327044025</v>
      </c>
      <c r="H179" s="0" t="n">
        <f aca="false">IF(G179&gt;=0.8,1,0)</f>
        <v>0</v>
      </c>
    </row>
    <row r="180" customFormat="false" ht="15" hidden="false" customHeight="false" outlineLevel="0" collapsed="false">
      <c r="A180" s="0" t="n">
        <v>90056956</v>
      </c>
      <c r="B180" s="0" t="s">
        <v>282</v>
      </c>
      <c r="C180" s="0" t="n">
        <v>5</v>
      </c>
      <c r="D180" s="0" t="s">
        <v>283</v>
      </c>
      <c r="E180" s="0" t="n">
        <v>9900</v>
      </c>
      <c r="F180" s="0" t="n">
        <v>90</v>
      </c>
      <c r="G180" s="0" t="n">
        <f aca="false">MIN(F180/E180,1)</f>
        <v>0.00909090909090909</v>
      </c>
      <c r="H180" s="0" t="n">
        <f aca="false">IF(G180&gt;=0.8,1,0)</f>
        <v>0</v>
      </c>
    </row>
    <row r="181" customFormat="false" ht="15" hidden="false" customHeight="false" outlineLevel="0" collapsed="false">
      <c r="A181" s="0" t="n">
        <v>240081</v>
      </c>
      <c r="B181" s="0" t="s">
        <v>32</v>
      </c>
      <c r="C181" s="0" t="n">
        <v>5</v>
      </c>
      <c r="D181" s="0" t="s">
        <v>284</v>
      </c>
      <c r="E181" s="0" t="n">
        <v>1500</v>
      </c>
      <c r="F181" s="0" t="n">
        <v>1111</v>
      </c>
      <c r="G181" s="0" t="n">
        <f aca="false">MIN(F181/E181,1)</f>
        <v>0.740666666666667</v>
      </c>
      <c r="H181" s="0" t="n">
        <f aca="false">IF(G181&gt;=0.8,1,0)</f>
        <v>0</v>
      </c>
    </row>
    <row r="182" customFormat="false" ht="15" hidden="false" customHeight="false" outlineLevel="0" collapsed="false">
      <c r="A182" s="0" t="n">
        <v>240081</v>
      </c>
      <c r="B182" s="0" t="s">
        <v>32</v>
      </c>
      <c r="C182" s="0" t="n">
        <v>5</v>
      </c>
      <c r="D182" s="0" t="s">
        <v>285</v>
      </c>
      <c r="E182" s="0" t="n">
        <v>1800</v>
      </c>
      <c r="F182" s="0" t="n">
        <v>955</v>
      </c>
      <c r="G182" s="0" t="n">
        <f aca="false">MIN(F182/E182,1)</f>
        <v>0.530555555555556</v>
      </c>
      <c r="H182" s="0" t="n">
        <f aca="false">IF(G182&gt;=0.8,1,0)</f>
        <v>0</v>
      </c>
    </row>
    <row r="183" customFormat="false" ht="15" hidden="false" customHeight="false" outlineLevel="0" collapsed="false">
      <c r="A183" s="0" t="n">
        <v>5200303</v>
      </c>
      <c r="B183" s="0" t="s">
        <v>39</v>
      </c>
      <c r="C183" s="0" t="n">
        <v>4</v>
      </c>
      <c r="D183" s="0" t="s">
        <v>286</v>
      </c>
      <c r="E183" s="0" t="n">
        <v>5700</v>
      </c>
      <c r="F183" s="0" t="n">
        <v>2281</v>
      </c>
      <c r="G183" s="0" t="n">
        <f aca="false">MIN(F183/E183,1)</f>
        <v>0.400175438596491</v>
      </c>
      <c r="H183" s="0" t="n">
        <f aca="false">IF(G183&gt;=0.8,1,0)</f>
        <v>0</v>
      </c>
    </row>
    <row r="184" customFormat="false" ht="15" hidden="false" customHeight="false" outlineLevel="0" collapsed="false">
      <c r="A184" s="0" t="n">
        <v>5900347</v>
      </c>
      <c r="B184" s="0" t="s">
        <v>287</v>
      </c>
      <c r="C184" s="0" t="n">
        <v>3</v>
      </c>
      <c r="D184" s="0" t="s">
        <v>288</v>
      </c>
      <c r="E184" s="0" t="n">
        <v>3600</v>
      </c>
      <c r="F184" s="0" t="n">
        <v>1553</v>
      </c>
      <c r="G184" s="0" t="n">
        <f aca="false">MIN(F184/E184,1)</f>
        <v>0.431388888888889</v>
      </c>
      <c r="H184" s="0" t="n">
        <f aca="false">IF(G184&gt;=0.8,1,0)</f>
        <v>0</v>
      </c>
    </row>
    <row r="185" customFormat="false" ht="15" hidden="false" customHeight="false" outlineLevel="0" collapsed="false">
      <c r="A185" s="0" t="n">
        <v>20088</v>
      </c>
      <c r="B185" s="0" t="s">
        <v>92</v>
      </c>
      <c r="C185" s="0" t="n">
        <v>3</v>
      </c>
      <c r="D185" s="0" t="s">
        <v>289</v>
      </c>
      <c r="E185" s="0" t="n">
        <v>1800</v>
      </c>
      <c r="F185" s="0" t="n">
        <v>1477</v>
      </c>
      <c r="G185" s="0" t="n">
        <f aca="false">MIN(F185/E185,1)</f>
        <v>0.820555555555556</v>
      </c>
      <c r="H185" s="0" t="n">
        <f aca="false">IF(G185&gt;=0.8,1,0)</f>
        <v>1</v>
      </c>
    </row>
    <row r="186" customFormat="false" ht="15" hidden="false" customHeight="false" outlineLevel="0" collapsed="false">
      <c r="A186" s="0" t="n">
        <v>2400480</v>
      </c>
      <c r="B186" s="0" t="s">
        <v>59</v>
      </c>
      <c r="C186" s="0" t="n">
        <v>3</v>
      </c>
      <c r="D186" s="0" t="s">
        <v>290</v>
      </c>
      <c r="E186" s="0" t="n">
        <v>600</v>
      </c>
      <c r="F186" s="0" t="n">
        <v>585</v>
      </c>
      <c r="G186" s="0" t="n">
        <f aca="false">MIN(F186/E186,1)</f>
        <v>0.975</v>
      </c>
      <c r="H186" s="0" t="n">
        <f aca="false">IF(G186&gt;=0.8,1,0)</f>
        <v>1</v>
      </c>
    </row>
    <row r="187" customFormat="false" ht="15" hidden="false" customHeight="false" outlineLevel="0" collapsed="false">
      <c r="A187" s="0" t="n">
        <v>20088</v>
      </c>
      <c r="B187" s="0" t="s">
        <v>92</v>
      </c>
      <c r="C187" s="0" t="n">
        <v>3</v>
      </c>
      <c r="D187" s="0" t="s">
        <v>291</v>
      </c>
      <c r="E187" s="0" t="n">
        <v>900</v>
      </c>
      <c r="F187" s="0" t="n">
        <v>562</v>
      </c>
      <c r="G187" s="0" t="n">
        <f aca="false">MIN(F187/E187,1)</f>
        <v>0.624444444444445</v>
      </c>
      <c r="H187" s="0" t="n">
        <f aca="false">IF(G187&gt;=0.8,1,0)</f>
        <v>0</v>
      </c>
    </row>
    <row r="188" customFormat="false" ht="15" hidden="false" customHeight="false" outlineLevel="0" collapsed="false">
      <c r="A188" s="0" t="n">
        <v>1100411</v>
      </c>
      <c r="B188" s="0" t="s">
        <v>36</v>
      </c>
      <c r="C188" s="0" t="n">
        <v>4</v>
      </c>
      <c r="D188" s="0" t="s">
        <v>292</v>
      </c>
      <c r="E188" s="0" t="n">
        <v>6300</v>
      </c>
      <c r="F188" s="0" t="n">
        <v>113</v>
      </c>
      <c r="G188" s="0" t="n">
        <f aca="false">MIN(F188/E188,1)</f>
        <v>0.0179365079365079</v>
      </c>
      <c r="H188" s="0" t="n">
        <f aca="false">IF(G188&gt;=0.8,1,0)</f>
        <v>0</v>
      </c>
    </row>
    <row r="189" customFormat="false" ht="15" hidden="false" customHeight="false" outlineLevel="0" collapsed="false">
      <c r="A189" s="0" t="n">
        <v>1100411</v>
      </c>
      <c r="B189" s="0" t="s">
        <v>36</v>
      </c>
      <c r="C189" s="0" t="n">
        <v>4</v>
      </c>
      <c r="D189" s="0" t="s">
        <v>293</v>
      </c>
      <c r="E189" s="0" t="n">
        <v>9300</v>
      </c>
      <c r="F189" s="0" t="n">
        <v>1388</v>
      </c>
      <c r="G189" s="0" t="n">
        <f aca="false">MIN(F189/E189,1)</f>
        <v>0.149247311827957</v>
      </c>
      <c r="H189" s="0" t="n">
        <f aca="false">IF(G189&gt;=0.8,1,0)</f>
        <v>0</v>
      </c>
    </row>
    <row r="190" customFormat="false" ht="15" hidden="false" customHeight="false" outlineLevel="0" collapsed="false">
      <c r="A190" s="0" t="n">
        <v>1100411</v>
      </c>
      <c r="B190" s="0" t="s">
        <v>36</v>
      </c>
      <c r="C190" s="0" t="n">
        <v>4</v>
      </c>
      <c r="D190" s="0" t="s">
        <v>294</v>
      </c>
      <c r="E190" s="0" t="n">
        <v>9300</v>
      </c>
      <c r="F190" s="0" t="n">
        <v>362</v>
      </c>
      <c r="G190" s="0" t="n">
        <f aca="false">MIN(F190/E190,1)</f>
        <v>0.0389247311827957</v>
      </c>
      <c r="H190" s="0" t="n">
        <f aca="false">IF(G190&gt;=0.8,1,0)</f>
        <v>0</v>
      </c>
    </row>
    <row r="191" customFormat="false" ht="15" hidden="false" customHeight="false" outlineLevel="0" collapsed="false">
      <c r="A191" s="0" t="n">
        <v>10003167</v>
      </c>
      <c r="B191" s="0" t="s">
        <v>295</v>
      </c>
      <c r="C191" s="0" t="n">
        <v>6</v>
      </c>
      <c r="D191" s="0" t="s">
        <v>296</v>
      </c>
      <c r="E191" s="0" t="n">
        <v>9600</v>
      </c>
      <c r="F191" s="0" t="n">
        <v>31</v>
      </c>
      <c r="G191" s="0" t="n">
        <f aca="false">MIN(F191/E191,1)</f>
        <v>0.00322916666666667</v>
      </c>
      <c r="H191" s="0" t="n">
        <f aca="false">IF(G191&gt;=0.8,1,0)</f>
        <v>0</v>
      </c>
    </row>
    <row r="192" customFormat="false" ht="15" hidden="false" customHeight="false" outlineLevel="0" collapsed="false">
      <c r="A192" s="0" t="n">
        <v>2400467</v>
      </c>
      <c r="B192" s="0" t="s">
        <v>30</v>
      </c>
      <c r="C192" s="0" t="n">
        <v>6</v>
      </c>
      <c r="D192" s="0" t="s">
        <v>297</v>
      </c>
      <c r="E192" s="0" t="n">
        <v>2700</v>
      </c>
      <c r="F192" s="0" t="n">
        <v>2095</v>
      </c>
      <c r="G192" s="0" t="n">
        <f aca="false">MIN(F192/E192,1)</f>
        <v>0.775925925925926</v>
      </c>
      <c r="H192" s="0" t="n">
        <f aca="false">IF(G192&gt;=0.8,1,0)</f>
        <v>0</v>
      </c>
    </row>
    <row r="193" customFormat="false" ht="15" hidden="false" customHeight="false" outlineLevel="0" collapsed="false">
      <c r="A193" s="0" t="n">
        <v>6200371</v>
      </c>
      <c r="B193" s="0" t="s">
        <v>279</v>
      </c>
      <c r="C193" s="0" t="n">
        <v>23</v>
      </c>
      <c r="D193" s="0" t="s">
        <v>298</v>
      </c>
      <c r="E193" s="0" t="n">
        <v>1800</v>
      </c>
      <c r="F193" s="0" t="n">
        <v>185</v>
      </c>
      <c r="G193" s="0" t="n">
        <f aca="false">MIN(F193/E193,1)</f>
        <v>0.102777777777778</v>
      </c>
      <c r="H193" s="0" t="n">
        <f aca="false">IF(G193&gt;=0.8,1,0)</f>
        <v>0</v>
      </c>
    </row>
    <row r="194" customFormat="false" ht="15" hidden="false" customHeight="false" outlineLevel="0" collapsed="false">
      <c r="A194" s="0" t="n">
        <v>240081</v>
      </c>
      <c r="B194" s="0" t="s">
        <v>32</v>
      </c>
      <c r="C194" s="0" t="n">
        <v>5</v>
      </c>
      <c r="D194" s="0" t="s">
        <v>298</v>
      </c>
      <c r="E194" s="0" t="n">
        <v>1500</v>
      </c>
      <c r="F194" s="0" t="n">
        <v>215</v>
      </c>
      <c r="G194" s="0" t="n">
        <f aca="false">MIN(F194/E194,1)</f>
        <v>0.143333333333333</v>
      </c>
      <c r="H194" s="0" t="n">
        <f aca="false">IF(G194&gt;=0.8,1,0)</f>
        <v>0</v>
      </c>
    </row>
    <row r="195" customFormat="false" ht="15" hidden="false" customHeight="false" outlineLevel="0" collapsed="false">
      <c r="A195" s="0" t="n">
        <v>6700482</v>
      </c>
      <c r="B195" s="0" t="s">
        <v>299</v>
      </c>
      <c r="C195" s="0" t="n">
        <v>3</v>
      </c>
      <c r="D195" s="0" t="s">
        <v>300</v>
      </c>
      <c r="E195" s="0" t="n">
        <v>1800</v>
      </c>
      <c r="F195" s="0" t="n">
        <v>84</v>
      </c>
      <c r="G195" s="0" t="n">
        <f aca="false">MIN(F195/E195,1)</f>
        <v>0.0466666666666667</v>
      </c>
      <c r="H195" s="0" t="n">
        <f aca="false">IF(G195&gt;=0.8,1,0)</f>
        <v>0</v>
      </c>
    </row>
    <row r="196" customFormat="false" ht="15" hidden="false" customHeight="false" outlineLevel="0" collapsed="false">
      <c r="A196" s="0" t="n">
        <v>2400480</v>
      </c>
      <c r="B196" s="0" t="s">
        <v>59</v>
      </c>
      <c r="C196" s="0" t="n">
        <v>3</v>
      </c>
      <c r="D196" s="0" t="s">
        <v>301</v>
      </c>
      <c r="E196" s="0" t="n">
        <v>3600</v>
      </c>
      <c r="F196" s="0" t="n">
        <v>288</v>
      </c>
      <c r="G196" s="0" t="n">
        <f aca="false">MIN(F196/E196,1)</f>
        <v>0.08</v>
      </c>
      <c r="H196" s="0" t="n">
        <f aca="false">IF(G196&gt;=0.8,1,0)</f>
        <v>0</v>
      </c>
    </row>
    <row r="197" customFormat="false" ht="15" hidden="false" customHeight="false" outlineLevel="0" collapsed="false">
      <c r="A197" s="0" t="n">
        <v>5200303</v>
      </c>
      <c r="B197" s="0" t="s">
        <v>39</v>
      </c>
      <c r="C197" s="0" t="n">
        <v>4</v>
      </c>
      <c r="D197" s="0" t="s">
        <v>302</v>
      </c>
      <c r="E197" s="0" t="n">
        <v>5400</v>
      </c>
      <c r="F197" s="0" t="n">
        <v>2061</v>
      </c>
      <c r="G197" s="0" t="n">
        <f aca="false">MIN(F197/E197,1)</f>
        <v>0.381666666666667</v>
      </c>
      <c r="H197" s="0" t="n">
        <f aca="false">IF(G197&gt;=0.8,1,0)</f>
        <v>0</v>
      </c>
    </row>
    <row r="198" customFormat="false" ht="15" hidden="false" customHeight="false" outlineLevel="0" collapsed="false">
      <c r="A198" s="0" t="n">
        <v>90081718</v>
      </c>
      <c r="B198" s="0" t="s">
        <v>303</v>
      </c>
      <c r="C198" s="0" t="n">
        <v>1528</v>
      </c>
      <c r="D198" s="0" t="s">
        <v>304</v>
      </c>
      <c r="E198" s="0" t="n">
        <v>6000</v>
      </c>
      <c r="F198" s="0" t="n">
        <v>941</v>
      </c>
      <c r="G198" s="0" t="n">
        <f aca="false">MIN(F198/E198,1)</f>
        <v>0.156833333333333</v>
      </c>
      <c r="H198" s="0" t="n">
        <f aca="false">IF(G198&gt;=0.8,1,0)</f>
        <v>0</v>
      </c>
    </row>
    <row r="199" customFormat="false" ht="15" hidden="false" customHeight="false" outlineLevel="0" collapsed="false">
      <c r="A199" s="0" t="n">
        <v>1100411</v>
      </c>
      <c r="B199" s="0" t="s">
        <v>36</v>
      </c>
      <c r="C199" s="0" t="n">
        <v>4</v>
      </c>
      <c r="D199" s="0" t="s">
        <v>305</v>
      </c>
      <c r="E199" s="0" t="n">
        <v>9300</v>
      </c>
      <c r="F199" s="0" t="n">
        <v>235</v>
      </c>
      <c r="G199" s="0" t="n">
        <f aca="false">MIN(F199/E199,1)</f>
        <v>0.0252688172043011</v>
      </c>
      <c r="H199" s="0" t="n">
        <f aca="false">IF(G199&gt;=0.8,1,0)</f>
        <v>0</v>
      </c>
    </row>
    <row r="200" customFormat="false" ht="15" hidden="false" customHeight="false" outlineLevel="0" collapsed="false">
      <c r="A200" s="0" t="n">
        <v>90046940</v>
      </c>
      <c r="B200" s="0" t="s">
        <v>306</v>
      </c>
      <c r="C200" s="0" t="n">
        <v>212</v>
      </c>
      <c r="D200" s="0" t="s">
        <v>307</v>
      </c>
      <c r="E200" s="0" t="n">
        <v>9600</v>
      </c>
      <c r="F200" s="0" t="n">
        <v>2286</v>
      </c>
      <c r="G200" s="0" t="n">
        <f aca="false">MIN(F200/E200,1)</f>
        <v>0.238125</v>
      </c>
      <c r="H200" s="0" t="n">
        <f aca="false">IF(G200&gt;=0.8,1,0)</f>
        <v>0</v>
      </c>
    </row>
    <row r="201" customFormat="false" ht="15" hidden="false" customHeight="false" outlineLevel="0" collapsed="false">
      <c r="A201" s="0" t="n">
        <v>90054302</v>
      </c>
      <c r="B201" s="0" t="s">
        <v>308</v>
      </c>
      <c r="C201" s="0" t="n">
        <v>1520</v>
      </c>
      <c r="D201" s="0" t="s">
        <v>309</v>
      </c>
      <c r="E201" s="0" t="n">
        <v>6300</v>
      </c>
      <c r="F201" s="0" t="n">
        <v>936</v>
      </c>
      <c r="G201" s="0" t="n">
        <f aca="false">MIN(F201/E201,1)</f>
        <v>0.148571428571429</v>
      </c>
      <c r="H201" s="0" t="n">
        <f aca="false">IF(G201&gt;=0.8,1,0)</f>
        <v>0</v>
      </c>
    </row>
    <row r="202" customFormat="false" ht="15" hidden="false" customHeight="false" outlineLevel="0" collapsed="false">
      <c r="A202" s="0" t="n">
        <v>90048210</v>
      </c>
      <c r="B202" s="0" t="s">
        <v>310</v>
      </c>
      <c r="C202" s="0" t="n">
        <v>4</v>
      </c>
      <c r="D202" s="0" t="s">
        <v>311</v>
      </c>
      <c r="E202" s="0" t="n">
        <v>5100</v>
      </c>
      <c r="F202" s="0" t="n">
        <v>273</v>
      </c>
      <c r="G202" s="0" t="n">
        <f aca="false">MIN(F202/E202,1)</f>
        <v>0.0535294117647059</v>
      </c>
      <c r="H202" s="0" t="n">
        <f aca="false">IF(G202&gt;=0.8,1,0)</f>
        <v>0</v>
      </c>
    </row>
    <row r="203" customFormat="false" ht="15" hidden="false" customHeight="false" outlineLevel="0" collapsed="false">
      <c r="A203" s="0" t="n">
        <v>90041846</v>
      </c>
      <c r="B203" s="0" t="s">
        <v>312</v>
      </c>
      <c r="C203" s="0" t="n">
        <v>4</v>
      </c>
      <c r="D203" s="0" t="s">
        <v>313</v>
      </c>
      <c r="E203" s="0" t="n">
        <v>7200</v>
      </c>
      <c r="F203" s="0" t="n">
        <v>406</v>
      </c>
      <c r="G203" s="0" t="n">
        <f aca="false">MIN(F203/E203,1)</f>
        <v>0.0563888888888889</v>
      </c>
      <c r="H203" s="0" t="n">
        <f aca="false">IF(G203&gt;=0.8,1,0)</f>
        <v>0</v>
      </c>
    </row>
    <row r="204" customFormat="false" ht="15" hidden="false" customHeight="false" outlineLevel="0" collapsed="false">
      <c r="A204" s="0" t="n">
        <v>200405</v>
      </c>
      <c r="B204" s="0" t="s">
        <v>62</v>
      </c>
      <c r="C204" s="0" t="n">
        <v>843</v>
      </c>
      <c r="D204" s="0" t="s">
        <v>314</v>
      </c>
      <c r="E204" s="0" t="n">
        <v>13500</v>
      </c>
      <c r="F204" s="0" t="n">
        <v>1262</v>
      </c>
      <c r="G204" s="0" t="n">
        <f aca="false">MIN(F204/E204,1)</f>
        <v>0.0934814814814815</v>
      </c>
      <c r="H204" s="0" t="n">
        <f aca="false">IF(G204&gt;=0.8,1,0)</f>
        <v>0</v>
      </c>
    </row>
    <row r="205" customFormat="false" ht="15" hidden="false" customHeight="false" outlineLevel="0" collapsed="false">
      <c r="A205" s="0" t="n">
        <v>6500479</v>
      </c>
      <c r="B205" s="0" t="s">
        <v>121</v>
      </c>
      <c r="C205" s="0" t="n">
        <v>3</v>
      </c>
      <c r="D205" s="0" t="s">
        <v>315</v>
      </c>
      <c r="E205" s="0" t="n">
        <v>27300</v>
      </c>
      <c r="F205" s="0" t="n">
        <v>840</v>
      </c>
      <c r="G205" s="0" t="n">
        <f aca="false">MIN(F205/E205,1)</f>
        <v>0.0307692307692308</v>
      </c>
      <c r="H205" s="0" t="n">
        <f aca="false">IF(G205&gt;=0.8,1,0)</f>
        <v>0</v>
      </c>
    </row>
    <row r="206" customFormat="false" ht="15" hidden="false" customHeight="false" outlineLevel="0" collapsed="false">
      <c r="A206" s="0" t="n">
        <v>90073287</v>
      </c>
      <c r="B206" s="0" t="s">
        <v>316</v>
      </c>
      <c r="C206" s="0" t="n">
        <v>1520</v>
      </c>
      <c r="D206" s="0" t="s">
        <v>317</v>
      </c>
      <c r="E206" s="0" t="n">
        <v>6300</v>
      </c>
      <c r="F206" s="0" t="n">
        <v>77</v>
      </c>
      <c r="G206" s="0" t="n">
        <f aca="false">MIN(F206/E206,1)</f>
        <v>0.0122222222222222</v>
      </c>
      <c r="H206" s="0" t="n">
        <f aca="false">IF(G206&gt;=0.8,1,0)</f>
        <v>0</v>
      </c>
    </row>
    <row r="207" customFormat="false" ht="15" hidden="false" customHeight="false" outlineLevel="0" collapsed="false">
      <c r="A207" s="0" t="n">
        <v>90082431</v>
      </c>
      <c r="B207" s="0" t="s">
        <v>318</v>
      </c>
      <c r="C207" s="0" t="n">
        <v>23</v>
      </c>
      <c r="D207" s="0" t="s">
        <v>319</v>
      </c>
      <c r="E207" s="0" t="n">
        <v>5700</v>
      </c>
      <c r="F207" s="0" t="n">
        <v>78</v>
      </c>
      <c r="G207" s="0" t="n">
        <f aca="false">MIN(F207/E207,1)</f>
        <v>0.0136842105263158</v>
      </c>
      <c r="H207" s="0" t="n">
        <f aca="false">IF(G207&gt;=0.8,1,0)</f>
        <v>0</v>
      </c>
    </row>
    <row r="208" customFormat="false" ht="15" hidden="false" customHeight="false" outlineLevel="0" collapsed="false">
      <c r="A208" s="0" t="n">
        <v>90041065</v>
      </c>
      <c r="B208" s="0" t="s">
        <v>320</v>
      </c>
      <c r="C208" s="0" t="n">
        <v>5</v>
      </c>
      <c r="D208" s="0" t="s">
        <v>321</v>
      </c>
      <c r="E208" s="0" t="n">
        <v>7500</v>
      </c>
      <c r="F208" s="0" t="n">
        <v>174</v>
      </c>
      <c r="G208" s="0" t="n">
        <f aca="false">MIN(F208/E208,1)</f>
        <v>0.0232</v>
      </c>
      <c r="H208" s="0" t="n">
        <f aca="false">IF(G208&gt;=0.8,1,0)</f>
        <v>0</v>
      </c>
    </row>
    <row r="209" customFormat="false" ht="15" hidden="false" customHeight="false" outlineLevel="0" collapsed="false">
      <c r="A209" s="0" t="n">
        <v>90074481</v>
      </c>
      <c r="B209" s="0" t="s">
        <v>322</v>
      </c>
      <c r="C209" s="0" t="n">
        <v>3</v>
      </c>
      <c r="D209" s="0" t="s">
        <v>323</v>
      </c>
      <c r="E209" s="0" t="n">
        <v>9000</v>
      </c>
      <c r="F209" s="0" t="n">
        <v>592</v>
      </c>
      <c r="G209" s="0" t="n">
        <f aca="false">MIN(F209/E209,1)</f>
        <v>0.0657777777777778</v>
      </c>
      <c r="H209" s="0" t="n">
        <f aca="false">IF(G209&gt;=0.8,1,0)</f>
        <v>0</v>
      </c>
    </row>
    <row r="210" customFormat="false" ht="15" hidden="false" customHeight="false" outlineLevel="0" collapsed="false">
      <c r="A210" s="0" t="n">
        <v>90079286</v>
      </c>
      <c r="B210" s="0" t="s">
        <v>324</v>
      </c>
      <c r="C210" s="0" t="n">
        <v>3</v>
      </c>
      <c r="D210" s="0" t="s">
        <v>325</v>
      </c>
      <c r="E210" s="0" t="n">
        <v>10800</v>
      </c>
      <c r="F210" s="0" t="n">
        <v>79</v>
      </c>
      <c r="G210" s="0" t="n">
        <f aca="false">MIN(F210/E210,1)</f>
        <v>0.00731481481481482</v>
      </c>
      <c r="H210" s="0" t="n">
        <f aca="false">IF(G210&gt;=0.8,1,0)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326</v>
      </c>
      <c r="B1" s="0" t="s">
        <v>327</v>
      </c>
      <c r="C1" s="0" t="s">
        <v>16</v>
      </c>
      <c r="D1" s="0" t="s">
        <v>328</v>
      </c>
      <c r="E1" s="0" t="s">
        <v>329</v>
      </c>
      <c r="F1" s="0" t="s">
        <v>330</v>
      </c>
      <c r="G1" s="0" t="s">
        <v>331</v>
      </c>
      <c r="H1" s="0" t="s">
        <v>332</v>
      </c>
      <c r="J1" s="0" t="s">
        <v>333</v>
      </c>
      <c r="K1" s="0" t="s">
        <v>334</v>
      </c>
      <c r="L1" s="0" t="s">
        <v>335</v>
      </c>
    </row>
    <row r="2" customFormat="false" ht="15" hidden="false" customHeight="false" outlineLevel="0" collapsed="false">
      <c r="A2" s="0" t="n">
        <v>1</v>
      </c>
      <c r="B2" s="0" t="n">
        <v>240081</v>
      </c>
      <c r="C2" s="0" t="s">
        <v>32</v>
      </c>
      <c r="D2" s="0" t="n">
        <f aca="false">SUMIFS(val_airings!H2:H210,val_airings!A2:A210,B2)</f>
        <v>7</v>
      </c>
      <c r="E2" s="0" t="str">
        <f aca="false">IF(COUNTIF($K$2:$K$6,B2)&gt;0,"yes","no")</f>
        <v>yes</v>
      </c>
      <c r="F2" s="0" t="n">
        <f aca="false">IF(E2="yes",1,0)</f>
        <v>1</v>
      </c>
      <c r="G2" s="0" t="n">
        <f aca="false">SUM($F$2:F2)</f>
        <v>1</v>
      </c>
      <c r="H2" s="0" t="n">
        <f aca="false">IF(F2=1,G2/A2,0)</f>
        <v>1</v>
      </c>
      <c r="J2" s="0" t="n">
        <v>1</v>
      </c>
      <c r="K2" s="0" t="n">
        <v>240081</v>
      </c>
      <c r="L2" s="0" t="n">
        <f aca="false">SUMIFS(val_airings!H2:H210,val_airings!A2:A210,K2)</f>
        <v>7</v>
      </c>
    </row>
    <row r="3" customFormat="false" ht="15" hidden="false" customHeight="false" outlineLevel="0" collapsed="false">
      <c r="A3" s="0" t="n">
        <v>2</v>
      </c>
      <c r="B3" s="0" t="n">
        <v>1100411</v>
      </c>
      <c r="C3" s="0" t="s">
        <v>36</v>
      </c>
      <c r="D3" s="0" t="n">
        <f aca="false">SUMIFS(val_airings!H2:H210,val_airings!A2:A210,B3)</f>
        <v>1</v>
      </c>
      <c r="E3" s="0" t="str">
        <f aca="false">IF(COUNTIF($K$2:$K$6,B3)&gt;0,"yes","no")</f>
        <v>no</v>
      </c>
      <c r="F3" s="0" t="n">
        <f aca="false">IF(E3="yes",1,0)</f>
        <v>0</v>
      </c>
      <c r="G3" s="0" t="n">
        <f aca="false">SUM($F$2:F3)</f>
        <v>1</v>
      </c>
      <c r="H3" s="0" t="n">
        <f aca="false">IF(F3=1,G3/A3,0)</f>
        <v>0</v>
      </c>
      <c r="J3" s="0" t="n">
        <v>2</v>
      </c>
      <c r="K3" s="0" t="n">
        <v>5200303</v>
      </c>
      <c r="L3" s="0" t="n">
        <f aca="false">SUMIFS(val_airings!H2:H210,val_airings!A2:A210,K3)</f>
        <v>4</v>
      </c>
    </row>
    <row r="4" customFormat="false" ht="15" hidden="false" customHeight="false" outlineLevel="0" collapsed="false">
      <c r="A4" s="0" t="n">
        <v>3</v>
      </c>
      <c r="B4" s="0" t="n">
        <v>2400467</v>
      </c>
      <c r="C4" s="0" t="s">
        <v>30</v>
      </c>
      <c r="D4" s="0" t="n">
        <f aca="false">SUMIFS(val_airings!H2:H210,val_airings!A2:A210,B4)</f>
        <v>3</v>
      </c>
      <c r="E4" s="0" t="str">
        <f aca="false">IF(COUNTIF($K$2:$K$6,B4)&gt;0,"yes","no")</f>
        <v>yes</v>
      </c>
      <c r="F4" s="0" t="n">
        <f aca="false">IF(E4="yes",1,0)</f>
        <v>1</v>
      </c>
      <c r="G4" s="0" t="n">
        <f aca="false">SUM($F$2:F4)</f>
        <v>2</v>
      </c>
      <c r="H4" s="0" t="n">
        <f aca="false">IF(F4=1,G4/A4,0)</f>
        <v>0.666666666666667</v>
      </c>
      <c r="J4" s="0" t="n">
        <v>3</v>
      </c>
      <c r="K4" s="0" t="n">
        <v>2400467</v>
      </c>
      <c r="L4" s="0" t="n">
        <f aca="false">SUMIFS(val_airings!H2:H210,val_airings!A2:A210,K4)</f>
        <v>3</v>
      </c>
    </row>
    <row r="5" customFormat="false" ht="15" hidden="false" customHeight="false" outlineLevel="0" collapsed="false">
      <c r="A5" s="0" t="n">
        <v>4</v>
      </c>
      <c r="B5" s="0" t="n">
        <v>2400480</v>
      </c>
      <c r="C5" s="0" t="s">
        <v>59</v>
      </c>
      <c r="D5" s="0" t="n">
        <f aca="false">SUMIFS(val_airings!H2:H210,val_airings!A2:A210,B5)</f>
        <v>2</v>
      </c>
      <c r="E5" s="0" t="str">
        <f aca="false">IF(COUNTIF($K$2:$K$6,B5)&gt;0,"yes","no")</f>
        <v>yes</v>
      </c>
      <c r="F5" s="0" t="n">
        <f aca="false">IF(E5="yes",1,0)</f>
        <v>1</v>
      </c>
      <c r="G5" s="0" t="n">
        <f aca="false">SUM($F$2:F5)</f>
        <v>3</v>
      </c>
      <c r="H5" s="0" t="n">
        <f aca="false">IF(F5=1,G5/A5,0)</f>
        <v>0.75</v>
      </c>
      <c r="J5" s="0" t="n">
        <v>4</v>
      </c>
      <c r="K5" s="0" t="n">
        <v>2400480</v>
      </c>
      <c r="L5" s="0" t="n">
        <f aca="false">SUMIFS(val_airings!H2:H210,val_airings!A2:A210,K5)</f>
        <v>2</v>
      </c>
    </row>
    <row r="6" customFormat="false" ht="15" hidden="false" customHeight="false" outlineLevel="0" collapsed="false">
      <c r="A6" s="0" t="n">
        <v>5</v>
      </c>
      <c r="B6" s="0" t="n">
        <v>2400508</v>
      </c>
      <c r="C6" s="0" t="s">
        <v>34</v>
      </c>
      <c r="D6" s="0" t="n">
        <f aca="false">SUMIFS(val_airings!H2:H210,val_airings!A2:A210,B6)</f>
        <v>1</v>
      </c>
      <c r="E6" s="0" t="str">
        <f aca="false">IF(COUNTIF($K$2:$K$6,B6)&gt;0,"yes","no")</f>
        <v>no</v>
      </c>
      <c r="F6" s="0" t="n">
        <f aca="false">IF(E6="yes",1,0)</f>
        <v>0</v>
      </c>
      <c r="G6" s="0" t="n">
        <f aca="false">SUM($F$2:F6)</f>
        <v>3</v>
      </c>
      <c r="H6" s="0" t="n">
        <f aca="false">IF(F6=1,G6/A6,0)</f>
        <v>0</v>
      </c>
      <c r="J6" s="0" t="n">
        <v>5</v>
      </c>
      <c r="K6" s="0" t="n">
        <v>20088</v>
      </c>
      <c r="L6" s="0" t="n">
        <f aca="false">SUMIFS(val_airings!H2:H210,val_airings!A2:A210,K6)</f>
        <v>1</v>
      </c>
    </row>
    <row r="8" customFormat="false" ht="15" hidden="false" customHeight="false" outlineLevel="0" collapsed="false">
      <c r="A8" s="0" t="s">
        <v>336</v>
      </c>
      <c r="H8" s="0" t="n">
        <f aca="false">SUM(H2:H6)/MIN(5,COUNT(K2:K6))</f>
        <v>0.483333333333333</v>
      </c>
    </row>
    <row r="10" customFormat="false" ht="15" hidden="false" customHeight="false" outlineLevel="0" collapsed="false">
      <c r="A10" s="0" t="s">
        <v>337</v>
      </c>
    </row>
    <row r="11" customFormat="false" ht="15" hidden="false" customHeight="false" outlineLevel="0" collapsed="false">
      <c r="A11" s="0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339</v>
      </c>
      <c r="D1" s="0" t="s">
        <v>19</v>
      </c>
      <c r="E1" s="0" t="s">
        <v>3</v>
      </c>
      <c r="F1" s="0" t="s">
        <v>20</v>
      </c>
      <c r="G1" s="0" t="s">
        <v>340</v>
      </c>
      <c r="H1" s="0" t="s">
        <v>341</v>
      </c>
      <c r="J1" s="0" t="s">
        <v>15</v>
      </c>
      <c r="K1" s="0" t="s">
        <v>342</v>
      </c>
      <c r="L1" s="0" t="s">
        <v>343</v>
      </c>
      <c r="M1" s="0" t="s">
        <v>344</v>
      </c>
      <c r="N1" s="0" t="s">
        <v>326</v>
      </c>
    </row>
    <row r="2" customFormat="false" ht="15" hidden="false" customHeight="false" outlineLevel="0" collapsed="false">
      <c r="A2" s="0" t="n">
        <v>240081</v>
      </c>
      <c r="B2" s="0" t="s">
        <v>32</v>
      </c>
      <c r="C2" s="3" t="n">
        <v>43901.2786805556</v>
      </c>
      <c r="D2" s="0" t="n">
        <v>7</v>
      </c>
      <c r="E2" s="0" t="n">
        <v>300</v>
      </c>
      <c r="F2" s="2" t="n">
        <f aca="false">MIN(D2/E2,1)</f>
        <v>0.0233333333333333</v>
      </c>
      <c r="G2" s="2" t="n">
        <f aca="false">(DATE(2020,5,18)-C2)/7</f>
        <v>9.67447420634921</v>
      </c>
      <c r="H2" s="2" t="n">
        <f aca="false">F2*0.5^(G2/4)</f>
        <v>0.00436415385783507</v>
      </c>
      <c r="J2" s="0" t="n">
        <v>240081</v>
      </c>
      <c r="K2" s="2" t="n">
        <f aca="false">SUMIF($A$2:$A$242,J2,$H$2:$H$242)</f>
        <v>17.4713016200574</v>
      </c>
      <c r="L2" s="0" t="n">
        <v>0.417688726980469</v>
      </c>
      <c r="M2" s="2" t="n">
        <f aca="false">K2*(L2+0.0001)^0.5</f>
        <v>11.2928515725889</v>
      </c>
      <c r="N2" s="2" t="n">
        <f aca="false">RANK(M2,$M$2:$M$7)</f>
        <v>1</v>
      </c>
    </row>
    <row r="3" customFormat="false" ht="15" hidden="false" customHeight="false" outlineLevel="0" collapsed="false">
      <c r="A3" s="0" t="n">
        <v>240081</v>
      </c>
      <c r="B3" s="0" t="s">
        <v>32</v>
      </c>
      <c r="C3" s="3" t="n">
        <v>43901.7842708333</v>
      </c>
      <c r="D3" s="0" t="n">
        <v>1487</v>
      </c>
      <c r="E3" s="0" t="n">
        <v>2100</v>
      </c>
      <c r="F3" s="2" t="n">
        <f aca="false">MIN(D3/E3,1)</f>
        <v>0.708095238095238</v>
      </c>
      <c r="G3" s="2" t="n">
        <f aca="false">(DATE(2020,5,18)-C3)/7</f>
        <v>9.60224702380952</v>
      </c>
      <c r="H3" s="2" t="n">
        <f aca="false">F3*0.5^(G3/4)</f>
        <v>0.134106731793809</v>
      </c>
      <c r="J3" s="0" t="n">
        <v>1100411</v>
      </c>
      <c r="K3" s="2" t="n">
        <f aca="false">SUMIF($A$2:$A$242,J3,$H$2:$H$242)</f>
        <v>8.99784835617651</v>
      </c>
      <c r="L3" s="0" t="n">
        <v>0.259215930146418</v>
      </c>
      <c r="M3" s="2" t="n">
        <f aca="false">K3*(L3+0.0001)^0.5</f>
        <v>4.58198083180534</v>
      </c>
      <c r="N3" s="2" t="n">
        <f aca="false">RANK(M3,$M$2:$M$7)</f>
        <v>2</v>
      </c>
    </row>
    <row r="4" customFormat="false" ht="15" hidden="false" customHeight="false" outlineLevel="0" collapsed="false">
      <c r="A4" s="0" t="n">
        <v>240081</v>
      </c>
      <c r="B4" s="0" t="s">
        <v>32</v>
      </c>
      <c r="C4" s="3" t="n">
        <v>43902.3663194445</v>
      </c>
      <c r="D4" s="0" t="n">
        <v>1650</v>
      </c>
      <c r="E4" s="0" t="n">
        <v>1800</v>
      </c>
      <c r="F4" s="2" t="n">
        <f aca="false">MIN(D4/E4,1)</f>
        <v>0.916666666666667</v>
      </c>
      <c r="G4" s="2" t="n">
        <f aca="false">(DATE(2020,5,18)-C4)/7</f>
        <v>9.51909722222222</v>
      </c>
      <c r="H4" s="2" t="n">
        <f aca="false">F4*0.5^(G4/4)</f>
        <v>0.176127832378517</v>
      </c>
      <c r="J4" s="0" t="n">
        <v>2400467</v>
      </c>
      <c r="K4" s="2" t="n">
        <f aca="false">SUMIF($A$2:$A$242,J4,$H$2:$H$242)</f>
        <v>9.03425896430075</v>
      </c>
      <c r="L4" s="0" t="n">
        <v>0.165872765941033</v>
      </c>
      <c r="M4" s="2" t="n">
        <f aca="false">K4*(L4+0.0001)^0.5</f>
        <v>3.68053499245965</v>
      </c>
      <c r="N4" s="2" t="n">
        <f aca="false">RANK(M4,$M$2:$M$7)</f>
        <v>3</v>
      </c>
    </row>
    <row r="5" customFormat="false" ht="15" hidden="false" customHeight="false" outlineLevel="0" collapsed="false">
      <c r="A5" s="0" t="n">
        <v>240081</v>
      </c>
      <c r="B5" s="0" t="s">
        <v>32</v>
      </c>
      <c r="C5" s="3" t="n">
        <v>43902.7875</v>
      </c>
      <c r="D5" s="0" t="n">
        <v>1326</v>
      </c>
      <c r="E5" s="0" t="n">
        <v>2400</v>
      </c>
      <c r="F5" s="2" t="n">
        <f aca="false">MIN(D5/E5,1)</f>
        <v>0.5525</v>
      </c>
      <c r="G5" s="2" t="n">
        <f aca="false">(DATE(2020,5,18)-C5)/7</f>
        <v>9.45892857142857</v>
      </c>
      <c r="H5" s="2" t="n">
        <f aca="false">F5*0.5^(G5/4)</f>
        <v>0.107269677673621</v>
      </c>
      <c r="J5" s="0" t="n">
        <v>2400480</v>
      </c>
      <c r="K5" s="2" t="n">
        <f aca="false">SUMIF($A$2:$A$242,J5,$H$2:$H$242)</f>
        <v>6.97797522033434</v>
      </c>
      <c r="L5" s="0" t="n">
        <v>0.21950614996825</v>
      </c>
      <c r="M5" s="2" t="n">
        <f aca="false">K5*(L5+0.0001)^0.5</f>
        <v>3.27002951033558</v>
      </c>
      <c r="N5" s="2" t="n">
        <f aca="false">RANK(M5,$M$2:$M$7)</f>
        <v>4</v>
      </c>
    </row>
    <row r="6" customFormat="false" ht="15" hidden="false" customHeight="false" outlineLevel="0" collapsed="false">
      <c r="A6" s="0" t="n">
        <v>240081</v>
      </c>
      <c r="B6" s="0" t="s">
        <v>32</v>
      </c>
      <c r="C6" s="3" t="n">
        <v>43904.2050462963</v>
      </c>
      <c r="D6" s="0" t="n">
        <v>385</v>
      </c>
      <c r="E6" s="0" t="n">
        <v>1800</v>
      </c>
      <c r="F6" s="2" t="n">
        <f aca="false">MIN(D6/E6,1)</f>
        <v>0.213888888888889</v>
      </c>
      <c r="G6" s="2" t="n">
        <f aca="false">(DATE(2020,5,18)-C6)/7</f>
        <v>9.25642195767196</v>
      </c>
      <c r="H6" s="2" t="n">
        <f aca="false">F6*0.5^(G6/4)</f>
        <v>0.0430103581492729</v>
      </c>
      <c r="J6" s="0" t="n">
        <v>2400508</v>
      </c>
      <c r="K6" s="2" t="n">
        <f aca="false">SUMIF($A$2:$A$242,J6,$H$2:$H$242)</f>
        <v>4.00718906894627</v>
      </c>
      <c r="L6" s="0" t="n">
        <v>0.224105039801981</v>
      </c>
      <c r="M6" s="2" t="n">
        <f aca="false">K6*(L6+0.0001)^0.5</f>
        <v>1.89741582903437</v>
      </c>
      <c r="N6" s="2" t="n">
        <f aca="false">RANK(M6,$M$2:$M$7)</f>
        <v>5</v>
      </c>
    </row>
    <row r="7" customFormat="false" ht="15" hidden="false" customHeight="false" outlineLevel="0" collapsed="false">
      <c r="A7" s="0" t="n">
        <v>240081</v>
      </c>
      <c r="B7" s="0" t="s">
        <v>32</v>
      </c>
      <c r="C7" s="3" t="n">
        <v>43906.5437847222</v>
      </c>
      <c r="D7" s="0" t="n">
        <v>412</v>
      </c>
      <c r="E7" s="0" t="n">
        <v>2100</v>
      </c>
      <c r="F7" s="2" t="n">
        <f aca="false">MIN(D7/E7,1)</f>
        <v>0.196190476190476</v>
      </c>
      <c r="G7" s="2" t="n">
        <f aca="false">(DATE(2020,5,18)-C7)/7</f>
        <v>8.92231646825397</v>
      </c>
      <c r="H7" s="2" t="n">
        <f aca="false">F7*0.5^(G7/4)</f>
        <v>0.041802927736112</v>
      </c>
      <c r="J7" s="0" t="n">
        <v>5200303</v>
      </c>
      <c r="K7" s="2" t="n">
        <f aca="false">SUMIF($A$2:$A$242,J7,$H$2:$H$242)</f>
        <v>2.63209085435933</v>
      </c>
      <c r="L7" s="0" t="n">
        <v>0.081058018620727</v>
      </c>
      <c r="M7" s="2" t="n">
        <f aca="false">K7*(L7+0.0001)^0.5</f>
        <v>0.749836529567816</v>
      </c>
      <c r="N7" s="2" t="n">
        <f aca="false">RANK(M7,$M$2:$M$7)</f>
        <v>6</v>
      </c>
    </row>
    <row r="8" customFormat="false" ht="15" hidden="false" customHeight="false" outlineLevel="0" collapsed="false">
      <c r="A8" s="0" t="n">
        <v>240081</v>
      </c>
      <c r="B8" s="0" t="s">
        <v>32</v>
      </c>
      <c r="C8" s="3" t="n">
        <v>43906.7999074074</v>
      </c>
      <c r="D8" s="0" t="n">
        <v>342</v>
      </c>
      <c r="E8" s="0" t="n">
        <v>2100</v>
      </c>
      <c r="F8" s="2" t="n">
        <f aca="false">MIN(D8/E8,1)</f>
        <v>0.162857142857143</v>
      </c>
      <c r="G8" s="2" t="n">
        <f aca="false">(DATE(2020,5,18)-C8)/7</f>
        <v>8.88572751322751</v>
      </c>
      <c r="H8" s="2" t="n">
        <f aca="false">F8*0.5^(G8/4)</f>
        <v>0.0349212019009949</v>
      </c>
    </row>
    <row r="9" customFormat="false" ht="15" hidden="false" customHeight="false" outlineLevel="0" collapsed="false">
      <c r="A9" s="0" t="n">
        <v>240081</v>
      </c>
      <c r="B9" s="0" t="s">
        <v>32</v>
      </c>
      <c r="C9" s="3" t="n">
        <v>43906.863287037</v>
      </c>
      <c r="D9" s="0" t="n">
        <v>240</v>
      </c>
      <c r="E9" s="0" t="n">
        <v>1200</v>
      </c>
      <c r="F9" s="2" t="n">
        <f aca="false">MIN(D9/E9,1)</f>
        <v>0.2</v>
      </c>
      <c r="G9" s="2" t="n">
        <f aca="false">(DATE(2020,5,18)-C9)/7</f>
        <v>8.87667328042328</v>
      </c>
      <c r="H9" s="2" t="n">
        <f aca="false">F9*0.5^(G9/4)</f>
        <v>0.0429530260993908</v>
      </c>
      <c r="J9" s="2" t="s">
        <v>345</v>
      </c>
    </row>
    <row r="10" customFormat="false" ht="15" hidden="false" customHeight="false" outlineLevel="0" collapsed="false">
      <c r="A10" s="0" t="n">
        <v>240081</v>
      </c>
      <c r="B10" s="0" t="s">
        <v>32</v>
      </c>
      <c r="C10" s="3" t="n">
        <v>43907.3412731482</v>
      </c>
      <c r="D10" s="0" t="n">
        <v>1800</v>
      </c>
      <c r="E10" s="0" t="n">
        <v>1800</v>
      </c>
      <c r="F10" s="2" t="n">
        <f aca="false">MIN(D10/E10,1)</f>
        <v>1</v>
      </c>
      <c r="G10" s="2" t="n">
        <f aca="false">(DATE(2020,5,18)-C10)/7</f>
        <v>8.80838955026455</v>
      </c>
      <c r="H10" s="2" t="n">
        <f aca="false">F10*0.5^(G10/4)</f>
        <v>0.217321469476937</v>
      </c>
      <c r="J10" s="2" t="s">
        <v>346</v>
      </c>
    </row>
    <row r="11" customFormat="false" ht="15" hidden="false" customHeight="false" outlineLevel="0" collapsed="false">
      <c r="A11" s="0" t="n">
        <v>240081</v>
      </c>
      <c r="B11" s="0" t="s">
        <v>32</v>
      </c>
      <c r="C11" s="3" t="n">
        <v>43907.5327662037</v>
      </c>
      <c r="D11" s="0" t="n">
        <v>808</v>
      </c>
      <c r="E11" s="0" t="n">
        <v>2100</v>
      </c>
      <c r="F11" s="2" t="n">
        <f aca="false">MIN(D11/E11,1)</f>
        <v>0.384761904761905</v>
      </c>
      <c r="G11" s="2" t="n">
        <f aca="false">(DATE(2020,5,18)-C11)/7</f>
        <v>8.7810333994709</v>
      </c>
      <c r="H11" s="2" t="n">
        <f aca="false">F11*0.5^(G11/4)</f>
        <v>0.084014346672522</v>
      </c>
    </row>
    <row r="12" customFormat="false" ht="15" hidden="false" customHeight="false" outlineLevel="0" collapsed="false">
      <c r="A12" s="0" t="n">
        <v>240081</v>
      </c>
      <c r="B12" s="0" t="s">
        <v>32</v>
      </c>
      <c r="C12" s="3" t="n">
        <v>43907.7850694444</v>
      </c>
      <c r="D12" s="0" t="n">
        <v>616</v>
      </c>
      <c r="E12" s="0" t="n">
        <v>2100</v>
      </c>
      <c r="F12" s="2" t="n">
        <f aca="false">MIN(D12/E12,1)</f>
        <v>0.293333333333333</v>
      </c>
      <c r="G12" s="2" t="n">
        <f aca="false">(DATE(2020,5,18)-C12)/7</f>
        <v>8.74499007936508</v>
      </c>
      <c r="H12" s="2" t="n">
        <f aca="false">F12*0.5^(G12/4)</f>
        <v>0.0644518423318241</v>
      </c>
    </row>
    <row r="13" customFormat="false" ht="15" hidden="false" customHeight="false" outlineLevel="0" collapsed="false">
      <c r="A13" s="0" t="n">
        <v>240081</v>
      </c>
      <c r="B13" s="0" t="s">
        <v>32</v>
      </c>
      <c r="C13" s="3" t="n">
        <v>43908.550150463</v>
      </c>
      <c r="D13" s="0" t="n">
        <v>767</v>
      </c>
      <c r="E13" s="0" t="n">
        <v>2400</v>
      </c>
      <c r="F13" s="2" t="n">
        <f aca="false">MIN(D13/E13,1)</f>
        <v>0.319583333333333</v>
      </c>
      <c r="G13" s="2" t="n">
        <f aca="false">(DATE(2020,5,18)-C13)/7</f>
        <v>8.63569279100529</v>
      </c>
      <c r="H13" s="2" t="n">
        <f aca="false">F13*0.5^(G13/4)</f>
        <v>0.0715621667126022</v>
      </c>
    </row>
    <row r="14" customFormat="false" ht="15" hidden="false" customHeight="false" outlineLevel="0" collapsed="false">
      <c r="A14" s="0" t="n">
        <v>240081</v>
      </c>
      <c r="B14" s="0" t="s">
        <v>32</v>
      </c>
      <c r="C14" s="3" t="n">
        <v>43908.7834375</v>
      </c>
      <c r="D14" s="0" t="n">
        <v>202</v>
      </c>
      <c r="E14" s="0" t="n">
        <v>2400</v>
      </c>
      <c r="F14" s="2" t="n">
        <f aca="false">MIN(D14/E14,1)</f>
        <v>0.0841666666666667</v>
      </c>
      <c r="G14" s="2" t="n">
        <f aca="false">(DATE(2020,5,18)-C14)/7</f>
        <v>8.60236607142857</v>
      </c>
      <c r="H14" s="2" t="n">
        <f aca="false">F14*0.5^(G14/4)</f>
        <v>0.0189560380789108</v>
      </c>
    </row>
    <row r="15" customFormat="false" ht="15" hidden="false" customHeight="false" outlineLevel="0" collapsed="false">
      <c r="A15" s="0" t="n">
        <v>240081</v>
      </c>
      <c r="B15" s="0" t="s">
        <v>32</v>
      </c>
      <c r="C15" s="3" t="n">
        <v>43908.8866203704</v>
      </c>
      <c r="D15" s="0" t="n">
        <v>314</v>
      </c>
      <c r="E15" s="0" t="n">
        <v>1200</v>
      </c>
      <c r="F15" s="2" t="n">
        <f aca="false">MIN(D15/E15,1)</f>
        <v>0.261666666666667</v>
      </c>
      <c r="G15" s="2" t="n">
        <f aca="false">(DATE(2020,5,18)-C15)/7</f>
        <v>8.58762566137566</v>
      </c>
      <c r="H15" s="2" t="n">
        <f aca="false">F15*0.5^(G15/4)</f>
        <v>0.0590833583639029</v>
      </c>
    </row>
    <row r="16" customFormat="false" ht="15" hidden="false" customHeight="false" outlineLevel="0" collapsed="false">
      <c r="A16" s="0" t="n">
        <v>240081</v>
      </c>
      <c r="B16" s="0" t="s">
        <v>32</v>
      </c>
      <c r="C16" s="3" t="n">
        <v>43909.8664236111</v>
      </c>
      <c r="D16" s="0" t="n">
        <v>1200</v>
      </c>
      <c r="E16" s="0" t="n">
        <v>1200</v>
      </c>
      <c r="F16" s="2" t="n">
        <f aca="false">MIN(D16/E16,1)</f>
        <v>1</v>
      </c>
      <c r="G16" s="2" t="n">
        <f aca="false">(DATE(2020,5,18)-C16)/7</f>
        <v>8.44765376984127</v>
      </c>
      <c r="H16" s="2" t="n">
        <f aca="false">F16*0.5^(G16/4)</f>
        <v>0.231339986324768</v>
      </c>
    </row>
    <row r="17" customFormat="false" ht="15" hidden="false" customHeight="false" outlineLevel="0" collapsed="false">
      <c r="A17" s="0" t="n">
        <v>240081</v>
      </c>
      <c r="B17" s="0" t="s">
        <v>32</v>
      </c>
      <c r="C17" s="3" t="n">
        <v>43911.7950347222</v>
      </c>
      <c r="D17" s="0" t="n">
        <v>309</v>
      </c>
      <c r="E17" s="0" t="n">
        <v>1500</v>
      </c>
      <c r="F17" s="2" t="n">
        <f aca="false">MIN(D17/E17,1)</f>
        <v>0.206</v>
      </c>
      <c r="G17" s="2" t="n">
        <f aca="false">(DATE(2020,5,18)-C17)/7</f>
        <v>8.1721378968254</v>
      </c>
      <c r="H17" s="2" t="n">
        <f aca="false">F17*0.5^(G17/4)</f>
        <v>0.0499864807169664</v>
      </c>
    </row>
    <row r="18" customFormat="false" ht="15" hidden="false" customHeight="false" outlineLevel="0" collapsed="false">
      <c r="A18" s="0" t="n">
        <v>240081</v>
      </c>
      <c r="B18" s="0" t="s">
        <v>32</v>
      </c>
      <c r="C18" s="3" t="n">
        <v>43913.3752777778</v>
      </c>
      <c r="D18" s="0" t="n">
        <v>576</v>
      </c>
      <c r="E18" s="0" t="n">
        <v>1500</v>
      </c>
      <c r="F18" s="2" t="n">
        <f aca="false">MIN(D18/E18,1)</f>
        <v>0.384</v>
      </c>
      <c r="G18" s="2" t="n">
        <f aca="false">(DATE(2020,5,18)-C18)/7</f>
        <v>7.94638888888889</v>
      </c>
      <c r="H18" s="2" t="n">
        <f aca="false">F18*0.5^(G18/4)</f>
        <v>0.0968960049146859</v>
      </c>
    </row>
    <row r="19" customFormat="false" ht="15" hidden="false" customHeight="false" outlineLevel="0" collapsed="false">
      <c r="A19" s="0" t="n">
        <v>240081</v>
      </c>
      <c r="B19" s="0" t="s">
        <v>32</v>
      </c>
      <c r="C19" s="3" t="n">
        <v>43913.6695486111</v>
      </c>
      <c r="D19" s="0" t="n">
        <v>790</v>
      </c>
      <c r="E19" s="0" t="n">
        <v>2100</v>
      </c>
      <c r="F19" s="2" t="n">
        <f aca="false">MIN(D19/E19,1)</f>
        <v>0.376190476190476</v>
      </c>
      <c r="G19" s="2" t="n">
        <f aca="false">(DATE(2020,5,18)-C19)/7</f>
        <v>7.9043501984127</v>
      </c>
      <c r="H19" s="2" t="n">
        <f aca="false">F19*0.5^(G19/4)</f>
        <v>0.0956194343124797</v>
      </c>
    </row>
    <row r="20" customFormat="false" ht="15" hidden="false" customHeight="false" outlineLevel="0" collapsed="false">
      <c r="A20" s="0" t="n">
        <v>240081</v>
      </c>
      <c r="B20" s="0" t="s">
        <v>32</v>
      </c>
      <c r="C20" s="3" t="n">
        <v>43913.8462152778</v>
      </c>
      <c r="D20" s="0" t="n">
        <v>875</v>
      </c>
      <c r="E20" s="0" t="n">
        <v>1200</v>
      </c>
      <c r="F20" s="2" t="n">
        <f aca="false">MIN(D20/E20,1)</f>
        <v>0.729166666666667</v>
      </c>
      <c r="G20" s="2" t="n">
        <f aca="false">(DATE(2020,5,18)-C20)/7</f>
        <v>7.8791121031746</v>
      </c>
      <c r="H20" s="2" t="n">
        <f aca="false">F20*0.5^(G20/4)</f>
        <v>0.186150641164461</v>
      </c>
    </row>
    <row r="21" customFormat="false" ht="15" hidden="false" customHeight="false" outlineLevel="0" collapsed="false">
      <c r="A21" s="0" t="n">
        <v>240081</v>
      </c>
      <c r="B21" s="0" t="s">
        <v>32</v>
      </c>
      <c r="C21" s="3" t="n">
        <v>43915.7831944445</v>
      </c>
      <c r="D21" s="0" t="n">
        <v>1864</v>
      </c>
      <c r="E21" s="0" t="n">
        <v>2400</v>
      </c>
      <c r="F21" s="2" t="n">
        <f aca="false">MIN(D21/E21,1)</f>
        <v>0.776666666666667</v>
      </c>
      <c r="G21" s="2" t="n">
        <f aca="false">(DATE(2020,5,18)-C21)/7</f>
        <v>7.60240079365079</v>
      </c>
      <c r="H21" s="2" t="n">
        <f aca="false">F21*0.5^(G21/4)</f>
        <v>0.208016122556904</v>
      </c>
    </row>
    <row r="22" customFormat="false" ht="15" hidden="false" customHeight="false" outlineLevel="0" collapsed="false">
      <c r="A22" s="0" t="n">
        <v>240081</v>
      </c>
      <c r="B22" s="0" t="s">
        <v>32</v>
      </c>
      <c r="C22" s="3" t="n">
        <v>43915.8269791667</v>
      </c>
      <c r="D22" s="0" t="n">
        <v>1200</v>
      </c>
      <c r="E22" s="0" t="n">
        <v>1200</v>
      </c>
      <c r="F22" s="2" t="n">
        <f aca="false">MIN(D22/E22,1)</f>
        <v>1</v>
      </c>
      <c r="G22" s="2" t="n">
        <f aca="false">(DATE(2020,5,18)-C22)/7</f>
        <v>7.59614583333333</v>
      </c>
      <c r="H22" s="2" t="n">
        <f aca="false">F22*0.5^(G22/4)</f>
        <v>0.26812237840067</v>
      </c>
    </row>
    <row r="23" customFormat="false" ht="15" hidden="false" customHeight="false" outlineLevel="0" collapsed="false">
      <c r="A23" s="0" t="n">
        <v>240081</v>
      </c>
      <c r="B23" s="0" t="s">
        <v>32</v>
      </c>
      <c r="C23" s="3" t="n">
        <v>43917.3578703704</v>
      </c>
      <c r="D23" s="0" t="n">
        <v>1717</v>
      </c>
      <c r="E23" s="0" t="n">
        <v>1800</v>
      </c>
      <c r="F23" s="2" t="n">
        <f aca="false">MIN(D23/E23,1)</f>
        <v>0.953888888888889</v>
      </c>
      <c r="G23" s="2" t="n">
        <f aca="false">(DATE(2020,5,18)-C23)/7</f>
        <v>7.37744708994709</v>
      </c>
      <c r="H23" s="2" t="n">
        <f aca="false">F23*0.5^(G23/4)</f>
        <v>0.265637615836205</v>
      </c>
    </row>
    <row r="24" customFormat="false" ht="15" hidden="false" customHeight="false" outlineLevel="0" collapsed="false">
      <c r="A24" s="0" t="n">
        <v>240081</v>
      </c>
      <c r="B24" s="0" t="s">
        <v>32</v>
      </c>
      <c r="C24" s="3" t="n">
        <v>43917.7810300926</v>
      </c>
      <c r="D24" s="0" t="n">
        <v>1953</v>
      </c>
      <c r="E24" s="0" t="n">
        <v>2100</v>
      </c>
      <c r="F24" s="2" t="n">
        <f aca="false">MIN(D24/E24,1)</f>
        <v>0.93</v>
      </c>
      <c r="G24" s="2" t="n">
        <f aca="false">(DATE(2020,5,18)-C24)/7</f>
        <v>7.3169957010582</v>
      </c>
      <c r="H24" s="2" t="n">
        <f aca="false">F24*0.5^(G24/4)</f>
        <v>0.26171231105581</v>
      </c>
    </row>
    <row r="25" customFormat="false" ht="15" hidden="false" customHeight="false" outlineLevel="0" collapsed="false">
      <c r="A25" s="0" t="n">
        <v>240081</v>
      </c>
      <c r="B25" s="0" t="s">
        <v>32</v>
      </c>
      <c r="C25" s="3" t="n">
        <v>43920.3435069445</v>
      </c>
      <c r="D25" s="0" t="n">
        <v>1052</v>
      </c>
      <c r="E25" s="0" t="n">
        <v>1500</v>
      </c>
      <c r="F25" s="2" t="n">
        <f aca="false">MIN(D25/E25,1)</f>
        <v>0.701333333333333</v>
      </c>
      <c r="G25" s="2" t="n">
        <f aca="false">(DATE(2020,5,18)-C25)/7</f>
        <v>6.95092757936508</v>
      </c>
      <c r="H25" s="2" t="n">
        <f aca="false">F25*0.5^(G25/4)</f>
        <v>0.210288273789165</v>
      </c>
    </row>
    <row r="26" customFormat="false" ht="15" hidden="false" customHeight="false" outlineLevel="0" collapsed="false">
      <c r="A26" s="0" t="n">
        <v>240081</v>
      </c>
      <c r="B26" s="0" t="s">
        <v>32</v>
      </c>
      <c r="C26" s="3" t="n">
        <v>43920.8671990741</v>
      </c>
      <c r="D26" s="0" t="n">
        <v>118</v>
      </c>
      <c r="E26" s="0" t="n">
        <v>1500</v>
      </c>
      <c r="F26" s="2" t="n">
        <f aca="false">MIN(D26/E26,1)</f>
        <v>0.0786666666666667</v>
      </c>
      <c r="G26" s="2" t="n">
        <f aca="false">(DATE(2020,5,18)-C26)/7</f>
        <v>6.87611441798942</v>
      </c>
      <c r="H26" s="2" t="n">
        <f aca="false">F26*0.5^(G26/4)</f>
        <v>0.0238952497952901</v>
      </c>
    </row>
    <row r="27" customFormat="false" ht="15" hidden="false" customHeight="false" outlineLevel="0" collapsed="false">
      <c r="A27" s="0" t="n">
        <v>240081</v>
      </c>
      <c r="B27" s="0" t="s">
        <v>32</v>
      </c>
      <c r="C27" s="3" t="n">
        <v>43921.7889236111</v>
      </c>
      <c r="D27" s="0" t="n">
        <v>1115</v>
      </c>
      <c r="E27" s="0" t="n">
        <v>1800</v>
      </c>
      <c r="F27" s="2" t="n">
        <f aca="false">MIN(D27/E27,1)</f>
        <v>0.619444444444445</v>
      </c>
      <c r="G27" s="2" t="n">
        <f aca="false">(DATE(2020,5,18)-C27)/7</f>
        <v>6.74443948412699</v>
      </c>
      <c r="H27" s="2" t="n">
        <f aca="false">F27*0.5^(G27/4)</f>
        <v>0.192500878195534</v>
      </c>
    </row>
    <row r="28" customFormat="false" ht="15" hidden="false" customHeight="false" outlineLevel="0" collapsed="false">
      <c r="A28" s="0" t="n">
        <v>240081</v>
      </c>
      <c r="B28" s="0" t="s">
        <v>32</v>
      </c>
      <c r="C28" s="3" t="n">
        <v>43922.8447916667</v>
      </c>
      <c r="D28" s="0" t="n">
        <v>1200</v>
      </c>
      <c r="E28" s="0" t="n">
        <v>1200</v>
      </c>
      <c r="F28" s="2" t="n">
        <f aca="false">MIN(D28/E28,1)</f>
        <v>1</v>
      </c>
      <c r="G28" s="2" t="n">
        <f aca="false">(DATE(2020,5,18)-C28)/7</f>
        <v>6.59360119047619</v>
      </c>
      <c r="H28" s="2" t="n">
        <f aca="false">F28*0.5^(G28/4)</f>
        <v>0.318993670295242</v>
      </c>
    </row>
    <row r="29" customFormat="false" ht="15" hidden="false" customHeight="false" outlineLevel="0" collapsed="false">
      <c r="A29" s="0" t="n">
        <v>240081</v>
      </c>
      <c r="B29" s="0" t="s">
        <v>32</v>
      </c>
      <c r="C29" s="3" t="n">
        <v>43923.3443055556</v>
      </c>
      <c r="D29" s="0" t="n">
        <v>1800</v>
      </c>
      <c r="E29" s="0" t="n">
        <v>1800</v>
      </c>
      <c r="F29" s="2" t="n">
        <f aca="false">MIN(D29/E29,1)</f>
        <v>1</v>
      </c>
      <c r="G29" s="2" t="n">
        <f aca="false">(DATE(2020,5,18)-C29)/7</f>
        <v>6.52224206349206</v>
      </c>
      <c r="H29" s="2" t="n">
        <f aca="false">F29*0.5^(G29/4)</f>
        <v>0.322962705811457</v>
      </c>
    </row>
    <row r="30" customFormat="false" ht="15" hidden="false" customHeight="false" outlineLevel="0" collapsed="false">
      <c r="A30" s="0" t="n">
        <v>240081</v>
      </c>
      <c r="B30" s="0" t="s">
        <v>32</v>
      </c>
      <c r="C30" s="3" t="n">
        <v>43926.2290162037</v>
      </c>
      <c r="D30" s="0" t="n">
        <v>849</v>
      </c>
      <c r="E30" s="0" t="n">
        <v>1500</v>
      </c>
      <c r="F30" s="2" t="n">
        <f aca="false">MIN(D30/E30,1)</f>
        <v>0.566</v>
      </c>
      <c r="G30" s="2" t="n">
        <f aca="false">(DATE(2020,5,18)-C30)/7</f>
        <v>6.11014054232804</v>
      </c>
      <c r="H30" s="2" t="n">
        <f aca="false">F30*0.5^(G30/4)</f>
        <v>0.196328132686293</v>
      </c>
    </row>
    <row r="31" customFormat="false" ht="15" hidden="false" customHeight="false" outlineLevel="0" collapsed="false">
      <c r="A31" s="0" t="n">
        <v>240081</v>
      </c>
      <c r="B31" s="0" t="s">
        <v>32</v>
      </c>
      <c r="C31" s="3" t="n">
        <v>43927.863125</v>
      </c>
      <c r="D31" s="0" t="n">
        <v>92</v>
      </c>
      <c r="E31" s="0" t="n">
        <v>1200</v>
      </c>
      <c r="F31" s="2" t="n">
        <f aca="false">MIN(D31/E31,1)</f>
        <v>0.0766666666666667</v>
      </c>
      <c r="G31" s="2" t="n">
        <f aca="false">(DATE(2020,5,18)-C31)/7</f>
        <v>5.87669642857143</v>
      </c>
      <c r="H31" s="2" t="n">
        <f aca="false">F31*0.5^(G31/4)</f>
        <v>0.027691157271092</v>
      </c>
    </row>
    <row r="32" customFormat="false" ht="15" hidden="false" customHeight="false" outlineLevel="0" collapsed="false">
      <c r="A32" s="0" t="n">
        <v>240081</v>
      </c>
      <c r="B32" s="0" t="s">
        <v>32</v>
      </c>
      <c r="C32" s="3" t="n">
        <v>43928.2771875</v>
      </c>
      <c r="D32" s="0" t="n">
        <v>300</v>
      </c>
      <c r="E32" s="0" t="n">
        <v>300</v>
      </c>
      <c r="F32" s="2" t="n">
        <f aca="false">MIN(D32/E32,1)</f>
        <v>1</v>
      </c>
      <c r="G32" s="2" t="n">
        <f aca="false">(DATE(2020,5,18)-C32)/7</f>
        <v>5.81754464285714</v>
      </c>
      <c r="H32" s="2" t="n">
        <f aca="false">F32*0.5^(G32/4)</f>
        <v>0.364910315429179</v>
      </c>
    </row>
    <row r="33" customFormat="false" ht="15" hidden="false" customHeight="false" outlineLevel="0" collapsed="false">
      <c r="A33" s="0" t="n">
        <v>240081</v>
      </c>
      <c r="B33" s="0" t="s">
        <v>32</v>
      </c>
      <c r="C33" s="3" t="n">
        <v>43928.533900463</v>
      </c>
      <c r="D33" s="0" t="n">
        <v>77</v>
      </c>
      <c r="E33" s="0" t="n">
        <v>2100</v>
      </c>
      <c r="F33" s="2" t="n">
        <f aca="false">MIN(D33/E33,1)</f>
        <v>0.0366666666666667</v>
      </c>
      <c r="G33" s="2" t="n">
        <f aca="false">(DATE(2020,5,18)-C33)/7</f>
        <v>5.78087136243386</v>
      </c>
      <c r="H33" s="2" t="n">
        <f aca="false">F33*0.5^(G33/4)</f>
        <v>0.0134653457768612</v>
      </c>
    </row>
    <row r="34" customFormat="false" ht="15" hidden="false" customHeight="false" outlineLevel="0" collapsed="false">
      <c r="A34" s="0" t="n">
        <v>240081</v>
      </c>
      <c r="B34" s="0" t="s">
        <v>32</v>
      </c>
      <c r="C34" s="3" t="n">
        <v>43928.7779050926</v>
      </c>
      <c r="D34" s="0" t="n">
        <v>1850</v>
      </c>
      <c r="E34" s="0" t="n">
        <v>2100</v>
      </c>
      <c r="F34" s="2" t="n">
        <f aca="false">MIN(D34/E34,1)</f>
        <v>0.880952380952381</v>
      </c>
      <c r="G34" s="2" t="n">
        <f aca="false">(DATE(2020,5,18)-C34)/7</f>
        <v>5.74601355820106</v>
      </c>
      <c r="H34" s="2" t="n">
        <f aca="false">F34*0.5^(G34/4)</f>
        <v>0.32547813929571</v>
      </c>
    </row>
    <row r="35" customFormat="false" ht="15" hidden="false" customHeight="false" outlineLevel="0" collapsed="false">
      <c r="A35" s="0" t="n">
        <v>240081</v>
      </c>
      <c r="B35" s="0" t="s">
        <v>32</v>
      </c>
      <c r="C35" s="3" t="n">
        <v>43929.2790740741</v>
      </c>
      <c r="D35" s="0" t="n">
        <v>180</v>
      </c>
      <c r="E35" s="0" t="n">
        <v>300</v>
      </c>
      <c r="F35" s="2" t="n">
        <f aca="false">MIN(D35/E35,1)</f>
        <v>0.6</v>
      </c>
      <c r="G35" s="2" t="n">
        <f aca="false">(DATE(2020,5,18)-C35)/7</f>
        <v>5.67441798941799</v>
      </c>
      <c r="H35" s="2" t="n">
        <f aca="false">F35*0.5^(G35/4)</f>
        <v>0.224444384851352</v>
      </c>
    </row>
    <row r="36" customFormat="false" ht="15" hidden="false" customHeight="false" outlineLevel="0" collapsed="false">
      <c r="A36" s="0" t="n">
        <v>240081</v>
      </c>
      <c r="B36" s="0" t="s">
        <v>32</v>
      </c>
      <c r="C36" s="3" t="n">
        <v>43929.3785069444</v>
      </c>
      <c r="D36" s="0" t="n">
        <v>597</v>
      </c>
      <c r="E36" s="0" t="n">
        <v>1800</v>
      </c>
      <c r="F36" s="2" t="n">
        <f aca="false">MIN(D36/E36,1)</f>
        <v>0.331666666666667</v>
      </c>
      <c r="G36" s="2" t="n">
        <f aca="false">(DATE(2020,5,18)-C36)/7</f>
        <v>5.66021329365079</v>
      </c>
      <c r="H36" s="2" t="n">
        <f aca="false">F36*0.5^(G36/4)</f>
        <v>0.124373635806044</v>
      </c>
    </row>
    <row r="37" customFormat="false" ht="15" hidden="false" customHeight="false" outlineLevel="0" collapsed="false">
      <c r="A37" s="0" t="n">
        <v>240081</v>
      </c>
      <c r="B37" s="0" t="s">
        <v>32</v>
      </c>
      <c r="C37" s="3" t="n">
        <v>43929.8469097222</v>
      </c>
      <c r="D37" s="0" t="n">
        <v>892</v>
      </c>
      <c r="E37" s="0" t="n">
        <v>1500</v>
      </c>
      <c r="F37" s="2" t="n">
        <f aca="false">MIN(D37/E37,1)</f>
        <v>0.594666666666667</v>
      </c>
      <c r="G37" s="2" t="n">
        <f aca="false">(DATE(2020,5,18)-C37)/7</f>
        <v>5.59329861111111</v>
      </c>
      <c r="H37" s="2" t="n">
        <f aca="false">F37*0.5^(G37/4)</f>
        <v>0.225598356344749</v>
      </c>
    </row>
    <row r="38" customFormat="false" ht="15" hidden="false" customHeight="false" outlineLevel="0" collapsed="false">
      <c r="A38" s="0" t="n">
        <v>240081</v>
      </c>
      <c r="B38" s="0" t="s">
        <v>32</v>
      </c>
      <c r="C38" s="3" t="n">
        <v>43935.6687152778</v>
      </c>
      <c r="D38" s="0" t="n">
        <v>656</v>
      </c>
      <c r="E38" s="0" t="n">
        <v>2100</v>
      </c>
      <c r="F38" s="2" t="n">
        <f aca="false">MIN(D38/E38,1)</f>
        <v>0.312380952380952</v>
      </c>
      <c r="G38" s="2" t="n">
        <f aca="false">(DATE(2020,5,18)-C38)/7</f>
        <v>4.7616121031746</v>
      </c>
      <c r="H38" s="2" t="n">
        <f aca="false">F38*0.5^(G38/4)</f>
        <v>0.136879221643932</v>
      </c>
    </row>
    <row r="39" customFormat="false" ht="15" hidden="false" customHeight="false" outlineLevel="0" collapsed="false">
      <c r="A39" s="0" t="n">
        <v>240081</v>
      </c>
      <c r="B39" s="0" t="s">
        <v>32</v>
      </c>
      <c r="C39" s="3" t="n">
        <v>43935.8067013889</v>
      </c>
      <c r="D39" s="0" t="n">
        <v>201</v>
      </c>
      <c r="E39" s="0" t="n">
        <v>2400</v>
      </c>
      <c r="F39" s="2" t="n">
        <f aca="false">MIN(D39/E39,1)</f>
        <v>0.08375</v>
      </c>
      <c r="G39" s="2" t="n">
        <f aca="false">(DATE(2020,5,18)-C39)/7</f>
        <v>4.7418998015873</v>
      </c>
      <c r="H39" s="2" t="n">
        <f aca="false">F39*0.5^(G39/4)</f>
        <v>0.0368231804798872</v>
      </c>
    </row>
    <row r="40" customFormat="false" ht="15" hidden="false" customHeight="false" outlineLevel="0" collapsed="false">
      <c r="A40" s="0" t="n">
        <v>240081</v>
      </c>
      <c r="B40" s="0" t="s">
        <v>32</v>
      </c>
      <c r="C40" s="3" t="n">
        <v>43935.8710069444</v>
      </c>
      <c r="D40" s="0" t="n">
        <v>294</v>
      </c>
      <c r="E40" s="0" t="n">
        <v>1500</v>
      </c>
      <c r="F40" s="2" t="n">
        <f aca="false">MIN(D40/E40,1)</f>
        <v>0.196</v>
      </c>
      <c r="G40" s="2" t="n">
        <f aca="false">(DATE(2020,5,18)-C40)/7</f>
        <v>4.73271329365079</v>
      </c>
      <c r="H40" s="2" t="n">
        <f aca="false">F40*0.5^(G40/4)</f>
        <v>0.0863145291519968</v>
      </c>
    </row>
    <row r="41" customFormat="false" ht="15" hidden="false" customHeight="false" outlineLevel="0" collapsed="false">
      <c r="A41" s="0" t="n">
        <v>240081</v>
      </c>
      <c r="B41" s="0" t="s">
        <v>32</v>
      </c>
      <c r="C41" s="3" t="n">
        <v>43936.277662037</v>
      </c>
      <c r="D41" s="0" t="n">
        <v>300</v>
      </c>
      <c r="E41" s="0" t="n">
        <v>300</v>
      </c>
      <c r="F41" s="2" t="n">
        <f aca="false">MIN(D41/E41,1)</f>
        <v>1</v>
      </c>
      <c r="G41" s="2" t="n">
        <f aca="false">(DATE(2020,5,18)-C41)/7</f>
        <v>4.67461970899471</v>
      </c>
      <c r="H41" s="2" t="n">
        <f aca="false">F41*0.5^(G41/4)</f>
        <v>0.444835882651895</v>
      </c>
    </row>
    <row r="42" customFormat="false" ht="15" hidden="false" customHeight="false" outlineLevel="0" collapsed="false">
      <c r="A42" s="0" t="n">
        <v>240081</v>
      </c>
      <c r="B42" s="0" t="s">
        <v>32</v>
      </c>
      <c r="C42" s="3" t="n">
        <v>43936.6674189815</v>
      </c>
      <c r="D42" s="0" t="n">
        <v>465</v>
      </c>
      <c r="E42" s="0" t="n">
        <v>2100</v>
      </c>
      <c r="F42" s="2" t="n">
        <f aca="false">MIN(D42/E42,1)</f>
        <v>0.221428571428571</v>
      </c>
      <c r="G42" s="2" t="n">
        <f aca="false">(DATE(2020,5,18)-C42)/7</f>
        <v>4.61894014550265</v>
      </c>
      <c r="H42" s="2" t="n">
        <f aca="false">F42*0.5^(G42/4)</f>
        <v>0.0994543481286531</v>
      </c>
    </row>
    <row r="43" customFormat="false" ht="15" hidden="false" customHeight="false" outlineLevel="0" collapsed="false">
      <c r="A43" s="0" t="n">
        <v>240081</v>
      </c>
      <c r="B43" s="0" t="s">
        <v>32</v>
      </c>
      <c r="C43" s="3" t="n">
        <v>43936.7894212963</v>
      </c>
      <c r="D43" s="0" t="n">
        <v>1694</v>
      </c>
      <c r="E43" s="0" t="n">
        <v>2400</v>
      </c>
      <c r="F43" s="2" t="n">
        <f aca="false">MIN(D43/E43,1)</f>
        <v>0.705833333333333</v>
      </c>
      <c r="G43" s="2" t="n">
        <f aca="false">(DATE(2020,5,18)-C43)/7</f>
        <v>4.60151124338624</v>
      </c>
      <c r="H43" s="2" t="n">
        <f aca="false">F43*0.5^(G43/4)</f>
        <v>0.317983025266737</v>
      </c>
    </row>
    <row r="44" customFormat="false" ht="15" hidden="false" customHeight="false" outlineLevel="0" collapsed="false">
      <c r="A44" s="0" t="n">
        <v>240081</v>
      </c>
      <c r="B44" s="0" t="s">
        <v>32</v>
      </c>
      <c r="C44" s="3" t="n">
        <v>43937.6686226852</v>
      </c>
      <c r="D44" s="0" t="n">
        <v>970</v>
      </c>
      <c r="E44" s="0" t="n">
        <v>2100</v>
      </c>
      <c r="F44" s="2" t="n">
        <f aca="false">MIN(D44/E44,1)</f>
        <v>0.461904761904762</v>
      </c>
      <c r="G44" s="2" t="n">
        <f aca="false">(DATE(2020,5,18)-C44)/7</f>
        <v>4.47591104497355</v>
      </c>
      <c r="H44" s="2" t="n">
        <f aca="false">F44*0.5^(G44/4)</f>
        <v>0.21267016543986</v>
      </c>
    </row>
    <row r="45" customFormat="false" ht="15" hidden="false" customHeight="false" outlineLevel="0" collapsed="false">
      <c r="A45" s="0" t="n">
        <v>240081</v>
      </c>
      <c r="B45" s="0" t="s">
        <v>32</v>
      </c>
      <c r="C45" s="3" t="n">
        <v>43942.3694675926</v>
      </c>
      <c r="D45" s="0" t="n">
        <v>382</v>
      </c>
      <c r="E45" s="0" t="n">
        <v>1800</v>
      </c>
      <c r="F45" s="2" t="n">
        <f aca="false">MIN(D45/E45,1)</f>
        <v>0.212222222222222</v>
      </c>
      <c r="G45" s="2" t="n">
        <f aca="false">(DATE(2020,5,18)-C45)/7</f>
        <v>3.80436177248677</v>
      </c>
      <c r="H45" s="2" t="n">
        <f aca="false">F45*0.5^(G45/4)</f>
        <v>0.109770111624941</v>
      </c>
    </row>
    <row r="46" customFormat="false" ht="15" hidden="false" customHeight="false" outlineLevel="0" collapsed="false">
      <c r="A46" s="0" t="n">
        <v>240081</v>
      </c>
      <c r="B46" s="0" t="s">
        <v>32</v>
      </c>
      <c r="C46" s="3" t="n">
        <v>43942.7822222222</v>
      </c>
      <c r="D46" s="0" t="n">
        <v>1777</v>
      </c>
      <c r="E46" s="0" t="n">
        <v>2100</v>
      </c>
      <c r="F46" s="2" t="n">
        <f aca="false">MIN(D46/E46,1)</f>
        <v>0.846190476190476</v>
      </c>
      <c r="G46" s="2" t="n">
        <f aca="false">(DATE(2020,5,18)-C46)/7</f>
        <v>3.74539682539683</v>
      </c>
      <c r="H46" s="2" t="n">
        <f aca="false">F46*0.5^(G46/4)</f>
        <v>0.442179837290041</v>
      </c>
    </row>
    <row r="47" customFormat="false" ht="15" hidden="false" customHeight="false" outlineLevel="0" collapsed="false">
      <c r="A47" s="0" t="n">
        <v>240081</v>
      </c>
      <c r="B47" s="0" t="s">
        <v>32</v>
      </c>
      <c r="C47" s="3" t="n">
        <v>43944.781724537</v>
      </c>
      <c r="D47" s="0" t="n">
        <v>1775</v>
      </c>
      <c r="E47" s="0" t="n">
        <v>2400</v>
      </c>
      <c r="F47" s="2" t="n">
        <f aca="false">MIN(D47/E47,1)</f>
        <v>0.739583333333333</v>
      </c>
      <c r="G47" s="2" t="n">
        <f aca="false">(DATE(2020,5,18)-C47)/7</f>
        <v>3.45975363756614</v>
      </c>
      <c r="H47" s="2" t="n">
        <f aca="false">F47*0.5^(G47/4)</f>
        <v>0.406082907625176</v>
      </c>
    </row>
    <row r="48" customFormat="false" ht="15" hidden="false" customHeight="false" outlineLevel="0" collapsed="false">
      <c r="A48" s="0" t="n">
        <v>240081</v>
      </c>
      <c r="B48" s="0" t="s">
        <v>32</v>
      </c>
      <c r="C48" s="3" t="n">
        <v>43945.7801967593</v>
      </c>
      <c r="D48" s="0" t="n">
        <v>1586</v>
      </c>
      <c r="E48" s="0" t="n">
        <v>2400</v>
      </c>
      <c r="F48" s="2" t="n">
        <f aca="false">MIN(D48/E48,1)</f>
        <v>0.660833333333333</v>
      </c>
      <c r="G48" s="2" t="n">
        <f aca="false">(DATE(2020,5,18)-C48)/7</f>
        <v>3.31711474867725</v>
      </c>
      <c r="H48" s="2" t="n">
        <f aca="false">F48*0.5^(G48/4)</f>
        <v>0.371923980885138</v>
      </c>
    </row>
    <row r="49" customFormat="false" ht="15" hidden="false" customHeight="false" outlineLevel="0" collapsed="false">
      <c r="A49" s="0" t="n">
        <v>240081</v>
      </c>
      <c r="B49" s="0" t="s">
        <v>32</v>
      </c>
      <c r="C49" s="3" t="n">
        <v>43946.7940740741</v>
      </c>
      <c r="D49" s="0" t="n">
        <v>692</v>
      </c>
      <c r="E49" s="0" t="n">
        <v>1800</v>
      </c>
      <c r="F49" s="2" t="n">
        <f aca="false">MIN(D49/E49,1)</f>
        <v>0.384444444444444</v>
      </c>
      <c r="G49" s="2" t="n">
        <f aca="false">(DATE(2020,5,18)-C49)/7</f>
        <v>3.17227513227513</v>
      </c>
      <c r="H49" s="2" t="n">
        <f aca="false">F49*0.5^(G49/4)</f>
        <v>0.221868729792744</v>
      </c>
    </row>
    <row r="50" customFormat="false" ht="15" hidden="false" customHeight="false" outlineLevel="0" collapsed="false">
      <c r="A50" s="0" t="n">
        <v>240081</v>
      </c>
      <c r="B50" s="0" t="s">
        <v>32</v>
      </c>
      <c r="C50" s="3" t="n">
        <v>43948.3688541667</v>
      </c>
      <c r="D50" s="0" t="n">
        <v>1131</v>
      </c>
      <c r="E50" s="0" t="n">
        <v>1500</v>
      </c>
      <c r="F50" s="2" t="n">
        <f aca="false">MIN(D50/E50,1)</f>
        <v>0.754</v>
      </c>
      <c r="G50" s="2" t="n">
        <f aca="false">(DATE(2020,5,18)-C50)/7</f>
        <v>2.94730654761905</v>
      </c>
      <c r="H50" s="2" t="n">
        <f aca="false">F50*0.5^(G50/4)</f>
        <v>0.45244357628665</v>
      </c>
    </row>
    <row r="51" customFormat="false" ht="15" hidden="false" customHeight="false" outlineLevel="0" collapsed="false">
      <c r="A51" s="0" t="n">
        <v>240081</v>
      </c>
      <c r="B51" s="0" t="s">
        <v>32</v>
      </c>
      <c r="C51" s="3" t="n">
        <v>43948.7828356482</v>
      </c>
      <c r="D51" s="0" t="n">
        <v>1896</v>
      </c>
      <c r="E51" s="0" t="n">
        <v>2400</v>
      </c>
      <c r="F51" s="2" t="n">
        <f aca="false">MIN(D51/E51,1)</f>
        <v>0.79</v>
      </c>
      <c r="G51" s="2" t="n">
        <f aca="false">(DATE(2020,5,18)-C51)/7</f>
        <v>2.88816633597884</v>
      </c>
      <c r="H51" s="2" t="n">
        <f aca="false">F51*0.5^(G51/4)</f>
        <v>0.478928758769937</v>
      </c>
    </row>
    <row r="52" customFormat="false" ht="15" hidden="false" customHeight="false" outlineLevel="0" collapsed="false">
      <c r="A52" s="0" t="n">
        <v>240081</v>
      </c>
      <c r="B52" s="0" t="s">
        <v>32</v>
      </c>
      <c r="C52" s="3" t="n">
        <v>43949.6748611111</v>
      </c>
      <c r="D52" s="0" t="n">
        <v>492</v>
      </c>
      <c r="E52" s="0" t="n">
        <v>2100</v>
      </c>
      <c r="F52" s="2" t="n">
        <f aca="false">MIN(D52/E52,1)</f>
        <v>0.234285714285714</v>
      </c>
      <c r="G52" s="2" t="n">
        <f aca="false">(DATE(2020,5,18)-C52)/7</f>
        <v>2.76073412698413</v>
      </c>
      <c r="H52" s="2" t="n">
        <f aca="false">F52*0.5^(G52/4)</f>
        <v>0.14520442870726</v>
      </c>
    </row>
    <row r="53" customFormat="false" ht="15" hidden="false" customHeight="false" outlineLevel="0" collapsed="false">
      <c r="A53" s="0" t="n">
        <v>240081</v>
      </c>
      <c r="B53" s="0" t="s">
        <v>32</v>
      </c>
      <c r="C53" s="3" t="n">
        <v>43951.3036342593</v>
      </c>
      <c r="D53" s="0" t="n">
        <v>343</v>
      </c>
      <c r="E53" s="0" t="n">
        <v>600</v>
      </c>
      <c r="F53" s="2" t="n">
        <f aca="false">MIN(D53/E53,1)</f>
        <v>0.571666666666667</v>
      </c>
      <c r="G53" s="2" t="n">
        <f aca="false">(DATE(2020,5,18)-C53)/7</f>
        <v>2.52805224867725</v>
      </c>
      <c r="H53" s="2" t="n">
        <f aca="false">F53*0.5^(G53/4)</f>
        <v>0.36888243864193</v>
      </c>
    </row>
    <row r="54" customFormat="false" ht="15" hidden="false" customHeight="false" outlineLevel="0" collapsed="false">
      <c r="A54" s="0" t="n">
        <v>240081</v>
      </c>
      <c r="B54" s="0" t="s">
        <v>32</v>
      </c>
      <c r="C54" s="3" t="n">
        <v>43951.3219097222</v>
      </c>
      <c r="D54" s="0" t="n">
        <v>300</v>
      </c>
      <c r="E54" s="0" t="n">
        <v>300</v>
      </c>
      <c r="F54" s="2" t="n">
        <f aca="false">MIN(D54/E54,1)</f>
        <v>1</v>
      </c>
      <c r="G54" s="2" t="n">
        <f aca="false">(DATE(2020,5,18)-C54)/7</f>
        <v>2.52544146825397</v>
      </c>
      <c r="H54" s="2" t="n">
        <f aca="false">F54*0.5^(G54/4)</f>
        <v>0.645567400398279</v>
      </c>
    </row>
    <row r="55" customFormat="false" ht="15" hidden="false" customHeight="false" outlineLevel="0" collapsed="false">
      <c r="A55" s="0" t="n">
        <v>240081</v>
      </c>
      <c r="B55" s="0" t="s">
        <v>32</v>
      </c>
      <c r="C55" s="3" t="n">
        <v>43951.7815625</v>
      </c>
      <c r="D55" s="0" t="n">
        <v>1714</v>
      </c>
      <c r="E55" s="0" t="n">
        <v>2400</v>
      </c>
      <c r="F55" s="2" t="n">
        <f aca="false">MIN(D55/E55,1)</f>
        <v>0.714166666666667</v>
      </c>
      <c r="G55" s="2" t="n">
        <f aca="false">(DATE(2020,5,18)-C55)/7</f>
        <v>2.45977678571429</v>
      </c>
      <c r="H55" s="2" t="n">
        <f aca="false">F55*0.5^(G55/4)</f>
        <v>0.466318802543243</v>
      </c>
    </row>
    <row r="56" customFormat="false" ht="15" hidden="false" customHeight="false" outlineLevel="0" collapsed="false">
      <c r="A56" s="0" t="n">
        <v>240081</v>
      </c>
      <c r="B56" s="0" t="s">
        <v>32</v>
      </c>
      <c r="C56" s="3" t="n">
        <v>43951.8466550926</v>
      </c>
      <c r="D56" s="0" t="n">
        <v>132</v>
      </c>
      <c r="E56" s="0" t="n">
        <v>1200</v>
      </c>
      <c r="F56" s="2" t="n">
        <f aca="false">MIN(D56/E56,1)</f>
        <v>0.11</v>
      </c>
      <c r="G56" s="2" t="n">
        <f aca="false">(DATE(2020,5,18)-C56)/7</f>
        <v>2.45047784391534</v>
      </c>
      <c r="H56" s="2" t="n">
        <f aca="false">F56*0.5^(G56/4)</f>
        <v>0.0719408974852487</v>
      </c>
    </row>
    <row r="57" customFormat="false" ht="15" hidden="false" customHeight="false" outlineLevel="0" collapsed="false">
      <c r="A57" s="0" t="n">
        <v>240081</v>
      </c>
      <c r="B57" s="0" t="s">
        <v>32</v>
      </c>
      <c r="C57" s="3" t="n">
        <v>43955.7826157407</v>
      </c>
      <c r="D57" s="0" t="n">
        <v>1982</v>
      </c>
      <c r="E57" s="0" t="n">
        <v>2100</v>
      </c>
      <c r="F57" s="2" t="n">
        <f aca="false">MIN(D57/E57,1)</f>
        <v>0.943809523809524</v>
      </c>
      <c r="G57" s="2" t="n">
        <f aca="false">(DATE(2020,5,18)-C57)/7</f>
        <v>1.88819775132275</v>
      </c>
      <c r="H57" s="2" t="n">
        <f aca="false">F57*0.5^(G57/4)</f>
        <v>0.680429783611627</v>
      </c>
    </row>
    <row r="58" customFormat="false" ht="15" hidden="false" customHeight="false" outlineLevel="0" collapsed="false">
      <c r="A58" s="0" t="n">
        <v>240081</v>
      </c>
      <c r="B58" s="0" t="s">
        <v>32</v>
      </c>
      <c r="C58" s="3" t="n">
        <v>43955.7826157407</v>
      </c>
      <c r="D58" s="0" t="n">
        <v>1500</v>
      </c>
      <c r="E58" s="0" t="n">
        <v>1500</v>
      </c>
      <c r="F58" s="2" t="n">
        <f aca="false">MIN(D58/E58,1)</f>
        <v>1</v>
      </c>
      <c r="G58" s="2" t="n">
        <f aca="false">(DATE(2020,5,18)-C58)/7</f>
        <v>1.88819775132275</v>
      </c>
      <c r="H58" s="2" t="n">
        <f aca="false">F58*0.5^(G58/4)</f>
        <v>0.720939730365498</v>
      </c>
    </row>
    <row r="59" customFormat="false" ht="15" hidden="false" customHeight="false" outlineLevel="0" collapsed="false">
      <c r="A59" s="0" t="n">
        <v>240081</v>
      </c>
      <c r="B59" s="0" t="s">
        <v>32</v>
      </c>
      <c r="C59" s="3" t="n">
        <v>43956.3703935185</v>
      </c>
      <c r="D59" s="0" t="n">
        <v>1261</v>
      </c>
      <c r="E59" s="0" t="n">
        <v>1800</v>
      </c>
      <c r="F59" s="2" t="n">
        <f aca="false">MIN(D59/E59,1)</f>
        <v>0.700555555555556</v>
      </c>
      <c r="G59" s="2" t="n">
        <f aca="false">(DATE(2020,5,18)-C59)/7</f>
        <v>1.8042294973545</v>
      </c>
      <c r="H59" s="2" t="n">
        <f aca="false">F59*0.5^(G59/4)</f>
        <v>0.512460955525147</v>
      </c>
    </row>
    <row r="60" customFormat="false" ht="15" hidden="false" customHeight="false" outlineLevel="0" collapsed="false">
      <c r="A60" s="0" t="n">
        <v>240081</v>
      </c>
      <c r="B60" s="0" t="s">
        <v>32</v>
      </c>
      <c r="C60" s="3" t="n">
        <v>43956.5353935185</v>
      </c>
      <c r="D60" s="0" t="n">
        <v>1442</v>
      </c>
      <c r="E60" s="0" t="n">
        <v>2100</v>
      </c>
      <c r="F60" s="2" t="n">
        <f aca="false">MIN(D60/E60,1)</f>
        <v>0.686666666666667</v>
      </c>
      <c r="G60" s="2" t="n">
        <f aca="false">(DATE(2020,5,18)-C60)/7</f>
        <v>1.78065806878307</v>
      </c>
      <c r="H60" s="2" t="n">
        <f aca="false">F60*0.5^(G60/4)</f>
        <v>0.504357046643388</v>
      </c>
    </row>
    <row r="61" customFormat="false" ht="15" hidden="false" customHeight="false" outlineLevel="0" collapsed="false">
      <c r="A61" s="0" t="n">
        <v>240081</v>
      </c>
      <c r="B61" s="0" t="s">
        <v>32</v>
      </c>
      <c r="C61" s="3" t="n">
        <v>43957.3643865741</v>
      </c>
      <c r="D61" s="0" t="n">
        <v>465</v>
      </c>
      <c r="E61" s="0" t="n">
        <v>1800</v>
      </c>
      <c r="F61" s="2" t="n">
        <f aca="false">MIN(D61/E61,1)</f>
        <v>0.258333333333333</v>
      </c>
      <c r="G61" s="2" t="n">
        <f aca="false">(DATE(2020,5,18)-C61)/7</f>
        <v>1.66223048941799</v>
      </c>
      <c r="H61" s="2" t="n">
        <f aca="false">F61*0.5^(G61/4)</f>
        <v>0.193680161482747</v>
      </c>
    </row>
    <row r="62" customFormat="false" ht="15" hidden="false" customHeight="false" outlineLevel="0" collapsed="false">
      <c r="A62" s="0" t="n">
        <v>240081</v>
      </c>
      <c r="B62" s="0" t="s">
        <v>32</v>
      </c>
      <c r="C62" s="3" t="n">
        <v>43958.3659953704</v>
      </c>
      <c r="D62" s="0" t="n">
        <v>1366</v>
      </c>
      <c r="E62" s="0" t="n">
        <v>1800</v>
      </c>
      <c r="F62" s="2" t="n">
        <f aca="false">MIN(D62/E62,1)</f>
        <v>0.758888888888889</v>
      </c>
      <c r="G62" s="2" t="n">
        <f aca="false">(DATE(2020,5,18)-C62)/7</f>
        <v>1.51914351851852</v>
      </c>
      <c r="H62" s="2" t="n">
        <f aca="false">F62*0.5^(G62/4)</f>
        <v>0.583245306399269</v>
      </c>
    </row>
    <row r="63" customFormat="false" ht="15" hidden="false" customHeight="false" outlineLevel="0" collapsed="false">
      <c r="A63" s="0" t="n">
        <v>240081</v>
      </c>
      <c r="B63" s="0" t="s">
        <v>32</v>
      </c>
      <c r="C63" s="3" t="n">
        <v>43960.7906481482</v>
      </c>
      <c r="D63" s="0" t="n">
        <v>688</v>
      </c>
      <c r="E63" s="0" t="n">
        <v>1500</v>
      </c>
      <c r="F63" s="2" t="n">
        <f aca="false">MIN(D63/E63,1)</f>
        <v>0.458666666666667</v>
      </c>
      <c r="G63" s="2" t="n">
        <f aca="false">(DATE(2020,5,18)-C63)/7</f>
        <v>1.17276455026455</v>
      </c>
      <c r="H63" s="2" t="n">
        <f aca="false">F63*0.5^(G63/4)</f>
        <v>0.374315535473836</v>
      </c>
    </row>
    <row r="64" customFormat="false" ht="15" hidden="false" customHeight="false" outlineLevel="0" collapsed="false">
      <c r="A64" s="0" t="n">
        <v>240081</v>
      </c>
      <c r="B64" s="0" t="s">
        <v>32</v>
      </c>
      <c r="C64" s="3" t="n">
        <v>43962.7918287037</v>
      </c>
      <c r="D64" s="0" t="n">
        <v>886</v>
      </c>
      <c r="E64" s="0" t="n">
        <v>1800</v>
      </c>
      <c r="F64" s="2" t="n">
        <f aca="false">MIN(D64/E64,1)</f>
        <v>0.492222222222222</v>
      </c>
      <c r="G64" s="2" t="n">
        <f aca="false">(DATE(2020,5,18)-C64)/7</f>
        <v>0.886881613756614</v>
      </c>
      <c r="H64" s="2" t="n">
        <f aca="false">F64*0.5^(G64/4)</f>
        <v>0.422101334006123</v>
      </c>
    </row>
    <row r="65" customFormat="false" ht="15" hidden="false" customHeight="false" outlineLevel="0" collapsed="false">
      <c r="A65" s="0" t="n">
        <v>240081</v>
      </c>
      <c r="B65" s="0" t="s">
        <v>32</v>
      </c>
      <c r="C65" s="3" t="n">
        <v>43963.7872569444</v>
      </c>
      <c r="D65" s="0" t="n">
        <v>1425</v>
      </c>
      <c r="E65" s="0" t="n">
        <v>2100</v>
      </c>
      <c r="F65" s="2" t="n">
        <f aca="false">MIN(D65/E65,1)</f>
        <v>0.678571428571429</v>
      </c>
      <c r="G65" s="2" t="n">
        <f aca="false">(DATE(2020,5,18)-C65)/7</f>
        <v>0.744677579365079</v>
      </c>
      <c r="H65" s="2" t="n">
        <f aca="false">F65*0.5^(G65/4)</f>
        <v>0.596421097392163</v>
      </c>
    </row>
    <row r="66" customFormat="false" ht="15" hidden="false" customHeight="false" outlineLevel="0" collapsed="false">
      <c r="A66" s="0" t="n">
        <v>240081</v>
      </c>
      <c r="B66" s="0" t="s">
        <v>32</v>
      </c>
      <c r="C66" s="3" t="n">
        <v>43964.3648148148</v>
      </c>
      <c r="D66" s="0" t="n">
        <v>761</v>
      </c>
      <c r="E66" s="0" t="n">
        <v>1800</v>
      </c>
      <c r="F66" s="2" t="n">
        <f aca="false">MIN(D66/E66,1)</f>
        <v>0.422777777777778</v>
      </c>
      <c r="G66" s="2" t="n">
        <f aca="false">(DATE(2020,5,18)-C66)/7</f>
        <v>0.662169312169312</v>
      </c>
      <c r="H66" s="2" t="n">
        <f aca="false">F66*0.5^(G66/4)</f>
        <v>0.376945831844134</v>
      </c>
    </row>
    <row r="67" customFormat="false" ht="15" hidden="false" customHeight="false" outlineLevel="0" collapsed="false">
      <c r="A67" s="0" t="n">
        <v>240081</v>
      </c>
      <c r="B67" s="0" t="s">
        <v>32</v>
      </c>
      <c r="C67" s="3" t="n">
        <v>43966.3137731482</v>
      </c>
      <c r="D67" s="0" t="n">
        <v>300</v>
      </c>
      <c r="E67" s="0" t="n">
        <v>300</v>
      </c>
      <c r="F67" s="2" t="n">
        <f aca="false">MIN(D67/E67,1)</f>
        <v>1</v>
      </c>
      <c r="G67" s="2" t="n">
        <f aca="false">(DATE(2020,5,18)-C67)/7</f>
        <v>0.383746693121693</v>
      </c>
      <c r="H67" s="2" t="n">
        <f aca="false">F67*0.5^(G67/4)</f>
        <v>0.935664567680257</v>
      </c>
    </row>
    <row r="68" customFormat="false" ht="15" hidden="false" customHeight="false" outlineLevel="0" collapsed="false">
      <c r="A68" s="0" t="n">
        <v>240081</v>
      </c>
      <c r="B68" s="0" t="s">
        <v>32</v>
      </c>
      <c r="C68" s="3" t="n">
        <v>43966.3578356481</v>
      </c>
      <c r="D68" s="0" t="n">
        <v>923</v>
      </c>
      <c r="E68" s="0" t="n">
        <v>1800</v>
      </c>
      <c r="F68" s="2" t="n">
        <f aca="false">MIN(D68/E68,1)</f>
        <v>0.512777777777778</v>
      </c>
      <c r="G68" s="2" t="n">
        <f aca="false">(DATE(2020,5,18)-C68)/7</f>
        <v>0.37745205026455</v>
      </c>
      <c r="H68" s="2" t="n">
        <f aca="false">F68*0.5^(G68/4)</f>
        <v>0.48031162571603</v>
      </c>
    </row>
    <row r="69" customFormat="false" ht="15" hidden="false" customHeight="false" outlineLevel="0" collapsed="false">
      <c r="A69" s="0" t="n">
        <v>240081</v>
      </c>
      <c r="B69" s="0" t="s">
        <v>32</v>
      </c>
      <c r="C69" s="3" t="n">
        <v>43966.6643634259</v>
      </c>
      <c r="D69" s="0" t="n">
        <v>534</v>
      </c>
      <c r="E69" s="0" t="n">
        <v>2100</v>
      </c>
      <c r="F69" s="2" t="n">
        <f aca="false">MIN(D69/E69,1)</f>
        <v>0.254285714285714</v>
      </c>
      <c r="G69" s="2" t="n">
        <f aca="false">(DATE(2020,5,18)-C69)/7</f>
        <v>0.333662367724868</v>
      </c>
      <c r="H69" s="2" t="n">
        <f aca="false">F69*0.5^(G69/4)</f>
        <v>0.240000069246481</v>
      </c>
    </row>
    <row r="70" customFormat="false" ht="15" hidden="false" customHeight="false" outlineLevel="0" collapsed="false">
      <c r="A70" s="0" t="n">
        <v>1100411</v>
      </c>
      <c r="B70" s="0" t="s">
        <v>36</v>
      </c>
      <c r="C70" s="3" t="n">
        <v>43900.6180555556</v>
      </c>
      <c r="D70" s="0" t="n">
        <v>5455</v>
      </c>
      <c r="E70" s="0" t="n">
        <v>6300</v>
      </c>
      <c r="F70" s="2" t="n">
        <f aca="false">MIN(D70/E70,1)</f>
        <v>0.865873015873016</v>
      </c>
      <c r="G70" s="2" t="n">
        <f aca="false">(DATE(2020,5,18)-C70)/7</f>
        <v>9.76884920634921</v>
      </c>
      <c r="H70" s="2" t="n">
        <f aca="false">F70*0.5^(G70/4)</f>
        <v>0.159321742234616</v>
      </c>
    </row>
    <row r="71" customFormat="false" ht="15" hidden="false" customHeight="false" outlineLevel="0" collapsed="false">
      <c r="A71" s="0" t="n">
        <v>1100411</v>
      </c>
      <c r="B71" s="0" t="s">
        <v>36</v>
      </c>
      <c r="C71" s="3" t="n">
        <v>43900.6722106482</v>
      </c>
      <c r="D71" s="0" t="n">
        <v>1631</v>
      </c>
      <c r="E71" s="0" t="n">
        <v>3900</v>
      </c>
      <c r="F71" s="2" t="n">
        <f aca="false">MIN(D71/E71,1)</f>
        <v>0.418205128205128</v>
      </c>
      <c r="G71" s="2" t="n">
        <f aca="false">(DATE(2020,5,18)-C71)/7</f>
        <v>9.76111276455026</v>
      </c>
      <c r="H71" s="2" t="n">
        <f aca="false">F71*0.5^(G71/4)</f>
        <v>0.0770535089176623</v>
      </c>
    </row>
    <row r="72" customFormat="false" ht="15" hidden="false" customHeight="false" outlineLevel="0" collapsed="false">
      <c r="A72" s="0" t="n">
        <v>1100411</v>
      </c>
      <c r="B72" s="0" t="s">
        <v>36</v>
      </c>
      <c r="C72" s="3" t="n">
        <v>43902.7058680556</v>
      </c>
      <c r="D72" s="0" t="n">
        <v>2359</v>
      </c>
      <c r="E72" s="0" t="n">
        <v>3900</v>
      </c>
      <c r="F72" s="2" t="n">
        <f aca="false">MIN(D72/E72,1)</f>
        <v>0.604871794871795</v>
      </c>
      <c r="G72" s="2" t="n">
        <f aca="false">(DATE(2020,5,18)-C72)/7</f>
        <v>9.47059027777778</v>
      </c>
      <c r="H72" s="2" t="n">
        <f aca="false">F72*0.5^(G72/4)</f>
        <v>0.11720075146644</v>
      </c>
    </row>
    <row r="73" customFormat="false" ht="15" hidden="false" customHeight="false" outlineLevel="0" collapsed="false">
      <c r="A73" s="0" t="n">
        <v>1100411</v>
      </c>
      <c r="B73" s="0" t="s">
        <v>36</v>
      </c>
      <c r="C73" s="3" t="n">
        <v>43903.6323148148</v>
      </c>
      <c r="D73" s="0" t="n">
        <v>3335</v>
      </c>
      <c r="E73" s="0" t="n">
        <v>6600</v>
      </c>
      <c r="F73" s="2" t="n">
        <f aca="false">MIN(D73/E73,1)</f>
        <v>0.50530303030303</v>
      </c>
      <c r="G73" s="2" t="n">
        <f aca="false">(DATE(2020,5,18)-C73)/7</f>
        <v>9.33824074074074</v>
      </c>
      <c r="H73" s="2" t="n">
        <f aca="false">F73*0.5^(G73/4)</f>
        <v>0.100179592386367</v>
      </c>
    </row>
    <row r="74" customFormat="false" ht="15" hidden="false" customHeight="false" outlineLevel="0" collapsed="false">
      <c r="A74" s="0" t="n">
        <v>1100411</v>
      </c>
      <c r="B74" s="0" t="s">
        <v>36</v>
      </c>
      <c r="C74" s="3" t="n">
        <v>43903.6774537037</v>
      </c>
      <c r="D74" s="0" t="n">
        <v>1589</v>
      </c>
      <c r="E74" s="0" t="n">
        <v>3900</v>
      </c>
      <c r="F74" s="2" t="n">
        <f aca="false">MIN(D74/E74,1)</f>
        <v>0.407435897435897</v>
      </c>
      <c r="G74" s="2" t="n">
        <f aca="false">(DATE(2020,5,18)-C74)/7</f>
        <v>9.33179232804233</v>
      </c>
      <c r="H74" s="2" t="n">
        <f aca="false">F74*0.5^(G74/4)</f>
        <v>0.0808671130616762</v>
      </c>
    </row>
    <row r="75" customFormat="false" ht="15" hidden="false" customHeight="false" outlineLevel="0" collapsed="false">
      <c r="A75" s="0" t="n">
        <v>1100411</v>
      </c>
      <c r="B75" s="0" t="s">
        <v>36</v>
      </c>
      <c r="C75" s="3" t="n">
        <v>43907.616712963</v>
      </c>
      <c r="D75" s="0" t="n">
        <v>6116</v>
      </c>
      <c r="E75" s="0" t="n">
        <v>6300</v>
      </c>
      <c r="F75" s="2" t="n">
        <f aca="false">MIN(D75/E75,1)</f>
        <v>0.970793650793651</v>
      </c>
      <c r="G75" s="2" t="n">
        <f aca="false">(DATE(2020,5,18)-C75)/7</f>
        <v>8.76904100529101</v>
      </c>
      <c r="H75" s="2" t="n">
        <f aca="false">F75*0.5^(G75/4)</f>
        <v>0.212417764185071</v>
      </c>
    </row>
    <row r="76" customFormat="false" ht="15" hidden="false" customHeight="false" outlineLevel="0" collapsed="false">
      <c r="A76" s="0" t="n">
        <v>1100411</v>
      </c>
      <c r="B76" s="0" t="s">
        <v>36</v>
      </c>
      <c r="C76" s="3" t="n">
        <v>43907.616712963</v>
      </c>
      <c r="D76" s="0" t="n">
        <v>4877</v>
      </c>
      <c r="E76" s="0" t="n">
        <v>4200</v>
      </c>
      <c r="F76" s="2" t="n">
        <f aca="false">MIN(D76/E76,1)</f>
        <v>1</v>
      </c>
      <c r="G76" s="2" t="n">
        <f aca="false">(DATE(2020,5,18)-C76)/7</f>
        <v>8.76904100529101</v>
      </c>
      <c r="H76" s="2" t="n">
        <f aca="false">F76*0.5^(G76/4)</f>
        <v>0.218808357482987</v>
      </c>
    </row>
    <row r="77" customFormat="false" ht="15" hidden="false" customHeight="false" outlineLevel="0" collapsed="false">
      <c r="A77" s="0" t="n">
        <v>1100411</v>
      </c>
      <c r="B77" s="0" t="s">
        <v>36</v>
      </c>
      <c r="C77" s="3" t="n">
        <v>43908.6371643519</v>
      </c>
      <c r="D77" s="0" t="n">
        <v>2875</v>
      </c>
      <c r="E77" s="0" t="n">
        <v>6600</v>
      </c>
      <c r="F77" s="2" t="n">
        <f aca="false">MIN(D77/E77,1)</f>
        <v>0.435606060606061</v>
      </c>
      <c r="G77" s="2" t="n">
        <f aca="false">(DATE(2020,5,18)-C77)/7</f>
        <v>8.62326223544974</v>
      </c>
      <c r="H77" s="2" t="n">
        <f aca="false">F77*0.5^(G77/4)</f>
        <v>0.0977527007623662</v>
      </c>
    </row>
    <row r="78" customFormat="false" ht="15" hidden="false" customHeight="false" outlineLevel="0" collapsed="false">
      <c r="A78" s="0" t="n">
        <v>1100411</v>
      </c>
      <c r="B78" s="0" t="s">
        <v>36</v>
      </c>
      <c r="C78" s="3" t="n">
        <v>43908.667962963</v>
      </c>
      <c r="D78" s="0" t="n">
        <v>3645</v>
      </c>
      <c r="E78" s="0" t="n">
        <v>3900</v>
      </c>
      <c r="F78" s="2" t="n">
        <f aca="false">MIN(D78/E78,1)</f>
        <v>0.934615384615385</v>
      </c>
      <c r="G78" s="2" t="n">
        <f aca="false">(DATE(2020,5,18)-C78)/7</f>
        <v>8.61886243386243</v>
      </c>
      <c r="H78" s="2" t="n">
        <f aca="false">F78*0.5^(G78/4)</f>
        <v>0.20989345448897</v>
      </c>
    </row>
    <row r="79" customFormat="false" ht="15" hidden="false" customHeight="false" outlineLevel="0" collapsed="false">
      <c r="A79" s="0" t="n">
        <v>1100411</v>
      </c>
      <c r="B79" s="0" t="s">
        <v>36</v>
      </c>
      <c r="C79" s="3" t="n">
        <v>43909.6146296296</v>
      </c>
      <c r="D79" s="0" t="n">
        <v>5989</v>
      </c>
      <c r="E79" s="0" t="n">
        <v>6600</v>
      </c>
      <c r="F79" s="2" t="n">
        <f aca="false">MIN(D79/E79,1)</f>
        <v>0.907424242424243</v>
      </c>
      <c r="G79" s="2" t="n">
        <f aca="false">(DATE(2020,5,18)-C79)/7</f>
        <v>8.48362433862434</v>
      </c>
      <c r="H79" s="2" t="n">
        <f aca="false">F79*0.5^(G79/4)</f>
        <v>0.208619081066902</v>
      </c>
    </row>
    <row r="80" customFormat="false" ht="15" hidden="false" customHeight="false" outlineLevel="0" collapsed="false">
      <c r="A80" s="0" t="n">
        <v>1100411</v>
      </c>
      <c r="B80" s="0" t="s">
        <v>36</v>
      </c>
      <c r="C80" s="3" t="n">
        <v>43909.6338194445</v>
      </c>
      <c r="D80" s="0" t="n">
        <v>2884</v>
      </c>
      <c r="E80" s="0" t="n">
        <v>3900</v>
      </c>
      <c r="F80" s="2" t="n">
        <f aca="false">MIN(D80/E80,1)</f>
        <v>0.73948717948718</v>
      </c>
      <c r="G80" s="2" t="n">
        <f aca="false">(DATE(2020,5,18)-C80)/7</f>
        <v>8.48088293650794</v>
      </c>
      <c r="H80" s="2" t="n">
        <f aca="false">F80*0.5^(G80/4)</f>
        <v>0.170090716508761</v>
      </c>
    </row>
    <row r="81" customFormat="false" ht="15" hidden="false" customHeight="false" outlineLevel="0" collapsed="false">
      <c r="A81" s="0" t="n">
        <v>1100411</v>
      </c>
      <c r="B81" s="0" t="s">
        <v>36</v>
      </c>
      <c r="C81" s="3" t="n">
        <v>43910.6891550926</v>
      </c>
      <c r="D81" s="0" t="n">
        <v>157</v>
      </c>
      <c r="E81" s="0" t="n">
        <v>6600</v>
      </c>
      <c r="F81" s="2" t="n">
        <f aca="false">MIN(D81/E81,1)</f>
        <v>0.0237878787878788</v>
      </c>
      <c r="G81" s="2" t="n">
        <f aca="false">(DATE(2020,5,18)-C81)/7</f>
        <v>8.3301207010582</v>
      </c>
      <c r="H81" s="2" t="n">
        <f aca="false">F81*0.5^(G81/4)</f>
        <v>0.00561631770709912</v>
      </c>
    </row>
    <row r="82" customFormat="false" ht="15" hidden="false" customHeight="false" outlineLevel="0" collapsed="false">
      <c r="A82" s="0" t="n">
        <v>1100411</v>
      </c>
      <c r="B82" s="0" t="s">
        <v>36</v>
      </c>
      <c r="C82" s="3" t="n">
        <v>43910.6891550926</v>
      </c>
      <c r="D82" s="0" t="n">
        <v>830</v>
      </c>
      <c r="E82" s="0" t="n">
        <v>3900</v>
      </c>
      <c r="F82" s="2" t="n">
        <f aca="false">MIN(D82/E82,1)</f>
        <v>0.212820512820513</v>
      </c>
      <c r="G82" s="2" t="n">
        <f aca="false">(DATE(2020,5,18)-C82)/7</f>
        <v>8.3301207010582</v>
      </c>
      <c r="H82" s="2" t="n">
        <f aca="false">F82*0.5^(G82/4)</f>
        <v>0.050246918829804</v>
      </c>
    </row>
    <row r="83" customFormat="false" ht="15" hidden="false" customHeight="false" outlineLevel="0" collapsed="false">
      <c r="A83" s="0" t="n">
        <v>1100411</v>
      </c>
      <c r="B83" s="0" t="s">
        <v>36</v>
      </c>
      <c r="C83" s="3" t="n">
        <v>43914.9143402778</v>
      </c>
      <c r="D83" s="0" t="n">
        <v>201</v>
      </c>
      <c r="E83" s="0" t="n">
        <v>3900</v>
      </c>
      <c r="F83" s="2" t="n">
        <f aca="false">MIN(D83/E83,1)</f>
        <v>0.0515384615384615</v>
      </c>
      <c r="G83" s="2" t="n">
        <f aca="false">(DATE(2020,5,18)-C83)/7</f>
        <v>7.72652281746032</v>
      </c>
      <c r="H83" s="2" t="n">
        <f aca="false">F83*0.5^(G83/4)</f>
        <v>0.0135099165940797</v>
      </c>
    </row>
    <row r="84" customFormat="false" ht="15" hidden="false" customHeight="false" outlineLevel="0" collapsed="false">
      <c r="A84" s="0" t="n">
        <v>1100411</v>
      </c>
      <c r="B84" s="0" t="s">
        <v>36</v>
      </c>
      <c r="C84" s="3" t="n">
        <v>43916.9004166667</v>
      </c>
      <c r="D84" s="0" t="n">
        <v>378</v>
      </c>
      <c r="E84" s="0" t="n">
        <v>3600</v>
      </c>
      <c r="F84" s="2" t="n">
        <f aca="false">MIN(D84/E84,1)</f>
        <v>0.105</v>
      </c>
      <c r="G84" s="2" t="n">
        <f aca="false">(DATE(2020,5,18)-C84)/7</f>
        <v>7.44279761904762</v>
      </c>
      <c r="H84" s="2" t="n">
        <f aca="false">F84*0.5^(G84/4)</f>
        <v>0.0289109901222689</v>
      </c>
    </row>
    <row r="85" customFormat="false" ht="15" hidden="false" customHeight="false" outlineLevel="0" collapsed="false">
      <c r="A85" s="0" t="n">
        <v>1100411</v>
      </c>
      <c r="B85" s="0" t="s">
        <v>36</v>
      </c>
      <c r="C85" s="3" t="n">
        <v>43922.6340740741</v>
      </c>
      <c r="D85" s="0" t="n">
        <v>6235</v>
      </c>
      <c r="E85" s="0" t="n">
        <v>6300</v>
      </c>
      <c r="F85" s="2" t="n">
        <f aca="false">MIN(D85/E85,1)</f>
        <v>0.98968253968254</v>
      </c>
      <c r="G85" s="2" t="n">
        <f aca="false">(DATE(2020,5,18)-C85)/7</f>
        <v>6.6237037037037</v>
      </c>
      <c r="H85" s="2" t="n">
        <f aca="false">F85*0.5^(G85/4)</f>
        <v>0.314059933258542</v>
      </c>
    </row>
    <row r="86" customFormat="false" ht="15" hidden="false" customHeight="false" outlineLevel="0" collapsed="false">
      <c r="A86" s="0" t="n">
        <v>1100411</v>
      </c>
      <c r="B86" s="0" t="s">
        <v>36</v>
      </c>
      <c r="C86" s="3" t="n">
        <v>43922.6340740741</v>
      </c>
      <c r="D86" s="0" t="n">
        <v>1507</v>
      </c>
      <c r="E86" s="0" t="n">
        <v>4200</v>
      </c>
      <c r="F86" s="2" t="n">
        <f aca="false">MIN(D86/E86,1)</f>
        <v>0.358809523809524</v>
      </c>
      <c r="G86" s="2" t="n">
        <f aca="false">(DATE(2020,5,18)-C86)/7</f>
        <v>6.6237037037037</v>
      </c>
      <c r="H86" s="2" t="n">
        <f aca="false">F86*0.5^(G86/4)</f>
        <v>0.113862466580743</v>
      </c>
    </row>
    <row r="87" customFormat="false" ht="15" hidden="false" customHeight="false" outlineLevel="0" collapsed="false">
      <c r="A87" s="0" t="n">
        <v>1100411</v>
      </c>
      <c r="B87" s="0" t="s">
        <v>36</v>
      </c>
      <c r="C87" s="3" t="n">
        <v>43935.6162615741</v>
      </c>
      <c r="D87" s="0" t="n">
        <v>3879</v>
      </c>
      <c r="E87" s="0" t="n">
        <v>6600</v>
      </c>
      <c r="F87" s="2" t="n">
        <f aca="false">MIN(D87/E87,1)</f>
        <v>0.587727272727273</v>
      </c>
      <c r="G87" s="2" t="n">
        <f aca="false">(DATE(2020,5,18)-C87)/7</f>
        <v>4.76910548941799</v>
      </c>
      <c r="H87" s="2" t="n">
        <f aca="false">F87*0.5^(G87/4)</f>
        <v>0.257196404394432</v>
      </c>
    </row>
    <row r="88" customFormat="false" ht="15" hidden="false" customHeight="false" outlineLevel="0" collapsed="false">
      <c r="A88" s="0" t="n">
        <v>1100411</v>
      </c>
      <c r="B88" s="0" t="s">
        <v>36</v>
      </c>
      <c r="C88" s="3" t="n">
        <v>43936.6488541667</v>
      </c>
      <c r="D88" s="0" t="n">
        <v>3164</v>
      </c>
      <c r="E88" s="0" t="n">
        <v>6600</v>
      </c>
      <c r="F88" s="2" t="n">
        <f aca="false">MIN(D88/E88,1)</f>
        <v>0.479393939393939</v>
      </c>
      <c r="G88" s="2" t="n">
        <f aca="false">(DATE(2020,5,18)-C88)/7</f>
        <v>4.62159226190476</v>
      </c>
      <c r="H88" s="2" t="n">
        <f aca="false">F88*0.5^(G88/4)</f>
        <v>0.215220216850117</v>
      </c>
    </row>
    <row r="89" customFormat="false" ht="15" hidden="false" customHeight="false" outlineLevel="0" collapsed="false">
      <c r="A89" s="0" t="n">
        <v>1100411</v>
      </c>
      <c r="B89" s="0" t="s">
        <v>36</v>
      </c>
      <c r="C89" s="3" t="n">
        <v>43936.6728703704</v>
      </c>
      <c r="D89" s="0" t="n">
        <v>108</v>
      </c>
      <c r="E89" s="0" t="n">
        <v>3900</v>
      </c>
      <c r="F89" s="2" t="n">
        <f aca="false">MIN(D89/E89,1)</f>
        <v>0.0276923076923077</v>
      </c>
      <c r="G89" s="2" t="n">
        <f aca="false">(DATE(2020,5,18)-C89)/7</f>
        <v>4.61816137566138</v>
      </c>
      <c r="H89" s="2" t="n">
        <f aca="false">F89*0.5^(G89/4)</f>
        <v>0.0124396417636356</v>
      </c>
    </row>
    <row r="90" customFormat="false" ht="15" hidden="false" customHeight="false" outlineLevel="0" collapsed="false">
      <c r="A90" s="0" t="n">
        <v>1100411</v>
      </c>
      <c r="B90" s="0" t="s">
        <v>36</v>
      </c>
      <c r="C90" s="3" t="n">
        <v>43937.6346990741</v>
      </c>
      <c r="D90" s="0" t="n">
        <v>4469</v>
      </c>
      <c r="E90" s="0" t="n">
        <v>6300</v>
      </c>
      <c r="F90" s="2" t="n">
        <f aca="false">MIN(D90/E90,1)</f>
        <v>0.709365079365079</v>
      </c>
      <c r="G90" s="2" t="n">
        <f aca="false">(DATE(2020,5,18)-C90)/7</f>
        <v>4.48075727513228</v>
      </c>
      <c r="H90" s="2" t="n">
        <f aca="false">F90*0.5^(G90/4)</f>
        <v>0.326331666970499</v>
      </c>
    </row>
    <row r="91" customFormat="false" ht="15" hidden="false" customHeight="false" outlineLevel="0" collapsed="false">
      <c r="A91" s="0" t="n">
        <v>1100411</v>
      </c>
      <c r="B91" s="0" t="s">
        <v>36</v>
      </c>
      <c r="C91" s="3" t="n">
        <v>43937.6742824074</v>
      </c>
      <c r="D91" s="0" t="n">
        <v>1242</v>
      </c>
      <c r="E91" s="0" t="n">
        <v>3900</v>
      </c>
      <c r="F91" s="2" t="n">
        <f aca="false">MIN(D91/E91,1)</f>
        <v>0.318461538461538</v>
      </c>
      <c r="G91" s="2" t="n">
        <f aca="false">(DATE(2020,5,18)-C91)/7</f>
        <v>4.47510251322751</v>
      </c>
      <c r="H91" s="2" t="n">
        <f aca="false">F91*0.5^(G91/4)</f>
        <v>0.1466465891798</v>
      </c>
    </row>
    <row r="92" customFormat="false" ht="15" hidden="false" customHeight="false" outlineLevel="0" collapsed="false">
      <c r="A92" s="0" t="n">
        <v>1100411</v>
      </c>
      <c r="B92" s="0" t="s">
        <v>36</v>
      </c>
      <c r="C92" s="3" t="n">
        <v>43938.6399074074</v>
      </c>
      <c r="D92" s="0" t="n">
        <v>4412</v>
      </c>
      <c r="E92" s="0" t="n">
        <v>6300</v>
      </c>
      <c r="F92" s="2" t="n">
        <f aca="false">MIN(D92/E92,1)</f>
        <v>0.70031746031746</v>
      </c>
      <c r="G92" s="2" t="n">
        <f aca="false">(DATE(2020,5,18)-C92)/7</f>
        <v>4.33715608465609</v>
      </c>
      <c r="H92" s="2" t="n">
        <f aca="false">F92*0.5^(G92/4)</f>
        <v>0.33028696551177</v>
      </c>
    </row>
    <row r="93" customFormat="false" ht="15" hidden="false" customHeight="false" outlineLevel="0" collapsed="false">
      <c r="A93" s="0" t="n">
        <v>1100411</v>
      </c>
      <c r="B93" s="0" t="s">
        <v>36</v>
      </c>
      <c r="C93" s="3" t="n">
        <v>43938.6399074074</v>
      </c>
      <c r="D93" s="0" t="n">
        <v>1032</v>
      </c>
      <c r="E93" s="0" t="n">
        <v>3900</v>
      </c>
      <c r="F93" s="2" t="n">
        <f aca="false">MIN(D93/E93,1)</f>
        <v>0.264615384615385</v>
      </c>
      <c r="G93" s="2" t="n">
        <f aca="false">(DATE(2020,5,18)-C93)/7</f>
        <v>4.33715608465609</v>
      </c>
      <c r="H93" s="2" t="n">
        <f aca="false">F93*0.5^(G93/4)</f>
        <v>0.124799133771028</v>
      </c>
    </row>
    <row r="94" customFormat="false" ht="15" hidden="false" customHeight="false" outlineLevel="0" collapsed="false">
      <c r="A94" s="0" t="n">
        <v>1100411</v>
      </c>
      <c r="B94" s="0" t="s">
        <v>36</v>
      </c>
      <c r="C94" s="3" t="n">
        <v>43942.6132523148</v>
      </c>
      <c r="D94" s="0" t="n">
        <v>5554</v>
      </c>
      <c r="E94" s="0" t="n">
        <v>6600</v>
      </c>
      <c r="F94" s="2" t="n">
        <f aca="false">MIN(D94/E94,1)</f>
        <v>0.841515151515152</v>
      </c>
      <c r="G94" s="2" t="n">
        <f aca="false">(DATE(2020,5,18)-C94)/7</f>
        <v>3.76953538359788</v>
      </c>
      <c r="H94" s="2" t="n">
        <f aca="false">F94*0.5^(G94/4)</f>
        <v>0.437901199513331</v>
      </c>
    </row>
    <row r="95" customFormat="false" ht="15" hidden="false" customHeight="false" outlineLevel="0" collapsed="false">
      <c r="A95" s="0" t="n">
        <v>1100411</v>
      </c>
      <c r="B95" s="0" t="s">
        <v>36</v>
      </c>
      <c r="C95" s="3" t="n">
        <v>43942.6327199074</v>
      </c>
      <c r="D95" s="0" t="n">
        <v>105</v>
      </c>
      <c r="E95" s="0" t="n">
        <v>3900</v>
      </c>
      <c r="F95" s="2" t="n">
        <f aca="false">MIN(D95/E95,1)</f>
        <v>0.0269230769230769</v>
      </c>
      <c r="G95" s="2" t="n">
        <f aca="false">(DATE(2020,5,18)-C95)/7</f>
        <v>3.7667542989418</v>
      </c>
      <c r="H95" s="2" t="n">
        <f aca="false">F95*0.5^(G95/4)</f>
        <v>0.0140167776612725</v>
      </c>
    </row>
    <row r="96" customFormat="false" ht="15" hidden="false" customHeight="false" outlineLevel="0" collapsed="false">
      <c r="A96" s="0" t="n">
        <v>1100411</v>
      </c>
      <c r="B96" s="0" t="s">
        <v>36</v>
      </c>
      <c r="C96" s="3" t="n">
        <v>43943.6801273148</v>
      </c>
      <c r="D96" s="0" t="n">
        <v>937</v>
      </c>
      <c r="E96" s="0" t="n">
        <v>6600</v>
      </c>
      <c r="F96" s="2" t="n">
        <f aca="false">MIN(D96/E96,1)</f>
        <v>0.141969696969697</v>
      </c>
      <c r="G96" s="2" t="n">
        <f aca="false">(DATE(2020,5,18)-C96)/7</f>
        <v>3.61712466931217</v>
      </c>
      <c r="H96" s="2" t="n">
        <f aca="false">F96*0.5^(G96/4)</f>
        <v>0.0758542466451888</v>
      </c>
    </row>
    <row r="97" customFormat="false" ht="15" hidden="false" customHeight="false" outlineLevel="0" collapsed="false">
      <c r="A97" s="0" t="n">
        <v>1100411</v>
      </c>
      <c r="B97" s="0" t="s">
        <v>36</v>
      </c>
      <c r="C97" s="3" t="n">
        <v>43943.6801273148</v>
      </c>
      <c r="D97" s="0" t="n">
        <v>4080</v>
      </c>
      <c r="E97" s="0" t="n">
        <v>3900</v>
      </c>
      <c r="F97" s="2" t="n">
        <f aca="false">MIN(D97/E97,1)</f>
        <v>1</v>
      </c>
      <c r="G97" s="2" t="n">
        <f aca="false">(DATE(2020,5,18)-C97)/7</f>
        <v>3.61712466931217</v>
      </c>
      <c r="H97" s="2" t="n">
        <f aca="false">F97*0.5^(G97/4)</f>
        <v>0.534298855771874</v>
      </c>
    </row>
    <row r="98" customFormat="false" ht="15" hidden="false" customHeight="false" outlineLevel="0" collapsed="false">
      <c r="A98" s="0" t="n">
        <v>1100411</v>
      </c>
      <c r="B98" s="0" t="s">
        <v>36</v>
      </c>
      <c r="C98" s="3" t="n">
        <v>43944.6644097222</v>
      </c>
      <c r="D98" s="0" t="n">
        <v>2295</v>
      </c>
      <c r="E98" s="0" t="n">
        <v>6600</v>
      </c>
      <c r="F98" s="2" t="n">
        <f aca="false">MIN(D98/E98,1)</f>
        <v>0.347727272727273</v>
      </c>
      <c r="G98" s="2" t="n">
        <f aca="false">(DATE(2020,5,18)-C98)/7</f>
        <v>3.4765128968254</v>
      </c>
      <c r="H98" s="2" t="n">
        <f aca="false">F98*0.5^(G98/4)</f>
        <v>0.190372883821012</v>
      </c>
    </row>
    <row r="99" customFormat="false" ht="15" hidden="false" customHeight="false" outlineLevel="0" collapsed="false">
      <c r="A99" s="0" t="n">
        <v>1100411</v>
      </c>
      <c r="B99" s="0" t="s">
        <v>36</v>
      </c>
      <c r="C99" s="3" t="n">
        <v>43944.6644097222</v>
      </c>
      <c r="D99" s="0" t="n">
        <v>3404</v>
      </c>
      <c r="E99" s="0" t="n">
        <v>3900</v>
      </c>
      <c r="F99" s="2" t="n">
        <f aca="false">MIN(D99/E99,1)</f>
        <v>0.872820512820513</v>
      </c>
      <c r="G99" s="2" t="n">
        <f aca="false">(DATE(2020,5,18)-C99)/7</f>
        <v>3.4765128968254</v>
      </c>
      <c r="H99" s="2" t="n">
        <f aca="false">F99*0.5^(G99/4)</f>
        <v>0.477849657234386</v>
      </c>
    </row>
    <row r="100" customFormat="false" ht="15" hidden="false" customHeight="false" outlineLevel="0" collapsed="false">
      <c r="A100" s="0" t="n">
        <v>1100411</v>
      </c>
      <c r="B100" s="0" t="s">
        <v>36</v>
      </c>
      <c r="C100" s="3" t="n">
        <v>43945.6622222222</v>
      </c>
      <c r="D100" s="0" t="n">
        <v>2484</v>
      </c>
      <c r="E100" s="0" t="n">
        <v>6600</v>
      </c>
      <c r="F100" s="2" t="n">
        <f aca="false">MIN(D100/E100,1)</f>
        <v>0.376363636363636</v>
      </c>
      <c r="G100" s="2" t="n">
        <f aca="false">(DATE(2020,5,18)-C100)/7</f>
        <v>3.33396825396825</v>
      </c>
      <c r="H100" s="2" t="n">
        <f aca="false">F100*0.5^(G100/4)</f>
        <v>0.211203710470282</v>
      </c>
    </row>
    <row r="101" customFormat="false" ht="15" hidden="false" customHeight="false" outlineLevel="0" collapsed="false">
      <c r="A101" s="0" t="n">
        <v>1100411</v>
      </c>
      <c r="B101" s="0" t="s">
        <v>36</v>
      </c>
      <c r="C101" s="3" t="n">
        <v>43945.6622222222</v>
      </c>
      <c r="D101" s="0" t="n">
        <v>3225</v>
      </c>
      <c r="E101" s="0" t="n">
        <v>3900</v>
      </c>
      <c r="F101" s="2" t="n">
        <f aca="false">MIN(D101/E101,1)</f>
        <v>0.826923076923077</v>
      </c>
      <c r="G101" s="2" t="n">
        <f aca="false">(DATE(2020,5,18)-C101)/7</f>
        <v>3.33396825396825</v>
      </c>
      <c r="H101" s="2" t="n">
        <f aca="false">F101*0.5^(G101/4)</f>
        <v>0.464043826887976</v>
      </c>
    </row>
    <row r="102" customFormat="false" ht="15" hidden="false" customHeight="false" outlineLevel="0" collapsed="false">
      <c r="A102" s="0" t="n">
        <v>1100411</v>
      </c>
      <c r="B102" s="0" t="s">
        <v>36</v>
      </c>
      <c r="C102" s="3" t="n">
        <v>43949.694212963</v>
      </c>
      <c r="D102" s="0" t="n">
        <v>2713</v>
      </c>
      <c r="E102" s="0" t="n">
        <v>3900</v>
      </c>
      <c r="F102" s="2" t="n">
        <f aca="false">MIN(D102/E102,1)</f>
        <v>0.695641025641026</v>
      </c>
      <c r="G102" s="2" t="n">
        <f aca="false">(DATE(2020,5,18)-C102)/7</f>
        <v>2.75796957671958</v>
      </c>
      <c r="H102" s="2" t="n">
        <f aca="false">F102*0.5^(G102/4)</f>
        <v>0.431347508942577</v>
      </c>
    </row>
    <row r="103" customFormat="false" ht="15" hidden="false" customHeight="false" outlineLevel="0" collapsed="false">
      <c r="A103" s="0" t="n">
        <v>1100411</v>
      </c>
      <c r="B103" s="0" t="s">
        <v>36</v>
      </c>
      <c r="C103" s="3" t="n">
        <v>43950.7192476852</v>
      </c>
      <c r="D103" s="0" t="n">
        <v>63</v>
      </c>
      <c r="E103" s="0" t="n">
        <v>3900</v>
      </c>
      <c r="F103" s="2" t="n">
        <f aca="false">MIN(D103/E103,1)</f>
        <v>0.0161538461538462</v>
      </c>
      <c r="G103" s="2" t="n">
        <f aca="false">(DATE(2020,5,18)-C103)/7</f>
        <v>2.61153604497355</v>
      </c>
      <c r="H103" s="2" t="n">
        <f aca="false">F103*0.5^(G103/4)</f>
        <v>0.0102739694819999</v>
      </c>
    </row>
    <row r="104" customFormat="false" ht="15" hidden="false" customHeight="false" outlineLevel="0" collapsed="false">
      <c r="A104" s="0" t="n">
        <v>1100411</v>
      </c>
      <c r="B104" s="0" t="s">
        <v>36</v>
      </c>
      <c r="C104" s="3" t="n">
        <v>43951.5839814815</v>
      </c>
      <c r="D104" s="0" t="n">
        <v>105</v>
      </c>
      <c r="E104" s="0" t="n">
        <v>9900</v>
      </c>
      <c r="F104" s="2" t="n">
        <f aca="false">MIN(D104/E104,1)</f>
        <v>0.0106060606060606</v>
      </c>
      <c r="G104" s="2" t="n">
        <f aca="false">(DATE(2020,5,18)-C104)/7</f>
        <v>2.48800264550265</v>
      </c>
      <c r="H104" s="2" t="n">
        <f aca="false">F104*0.5^(G104/4)</f>
        <v>0.0068914918689008</v>
      </c>
    </row>
    <row r="105" customFormat="false" ht="15" hidden="false" customHeight="false" outlineLevel="0" collapsed="false">
      <c r="A105" s="0" t="n">
        <v>1100411</v>
      </c>
      <c r="B105" s="0" t="s">
        <v>36</v>
      </c>
      <c r="C105" s="3" t="n">
        <v>43956.7050694445</v>
      </c>
      <c r="D105" s="0" t="n">
        <v>882</v>
      </c>
      <c r="E105" s="0" t="n">
        <v>3900</v>
      </c>
      <c r="F105" s="2" t="n">
        <f aca="false">MIN(D105/E105,1)</f>
        <v>0.226153846153846</v>
      </c>
      <c r="G105" s="2" t="n">
        <f aca="false">(DATE(2020,5,18)-C105)/7</f>
        <v>1.75641865079365</v>
      </c>
      <c r="H105" s="2" t="n">
        <f aca="false">F105*0.5^(G105/4)</f>
        <v>0.166809316711791</v>
      </c>
    </row>
    <row r="106" customFormat="false" ht="15" hidden="false" customHeight="false" outlineLevel="0" collapsed="false">
      <c r="A106" s="0" t="n">
        <v>1100411</v>
      </c>
      <c r="B106" s="0" t="s">
        <v>36</v>
      </c>
      <c r="C106" s="3" t="n">
        <v>43957.6114930556</v>
      </c>
      <c r="D106" s="0" t="n">
        <v>960</v>
      </c>
      <c r="E106" s="0" t="n">
        <v>9900</v>
      </c>
      <c r="F106" s="2" t="n">
        <f aca="false">MIN(D106/E106,1)</f>
        <v>0.096969696969697</v>
      </c>
      <c r="G106" s="2" t="n">
        <f aca="false">(DATE(2020,5,18)-C106)/7</f>
        <v>1.62692956349206</v>
      </c>
      <c r="H106" s="2" t="n">
        <f aca="false">F106*0.5^(G106/4)</f>
        <v>0.0731471464653199</v>
      </c>
    </row>
    <row r="107" customFormat="false" ht="15" hidden="false" customHeight="false" outlineLevel="0" collapsed="false">
      <c r="A107" s="0" t="n">
        <v>1100411</v>
      </c>
      <c r="B107" s="0" t="s">
        <v>36</v>
      </c>
      <c r="C107" s="3" t="n">
        <v>43957.6946412037</v>
      </c>
      <c r="D107" s="0" t="n">
        <v>305</v>
      </c>
      <c r="E107" s="0" t="n">
        <v>3900</v>
      </c>
      <c r="F107" s="2" t="n">
        <f aca="false">MIN(D107/E107,1)</f>
        <v>0.0782051282051282</v>
      </c>
      <c r="G107" s="2" t="n">
        <f aca="false">(DATE(2020,5,18)-C107)/7</f>
        <v>1.61505125661376</v>
      </c>
      <c r="H107" s="2" t="n">
        <f aca="false">F107*0.5^(G107/4)</f>
        <v>0.0591140227136565</v>
      </c>
    </row>
    <row r="108" customFormat="false" ht="15" hidden="false" customHeight="false" outlineLevel="0" collapsed="false">
      <c r="A108" s="0" t="n">
        <v>1100411</v>
      </c>
      <c r="B108" s="0" t="s">
        <v>36</v>
      </c>
      <c r="C108" s="3" t="n">
        <v>43958.6936111111</v>
      </c>
      <c r="D108" s="0" t="n">
        <v>3372</v>
      </c>
      <c r="E108" s="0" t="n">
        <v>3900</v>
      </c>
      <c r="F108" s="2" t="n">
        <f aca="false">MIN(D108/E108,1)</f>
        <v>0.864615384615385</v>
      </c>
      <c r="G108" s="2" t="n">
        <f aca="false">(DATE(2020,5,18)-C108)/7</f>
        <v>1.47234126984127</v>
      </c>
      <c r="H108" s="2" t="n">
        <f aca="false">F108*0.5^(G108/4)</f>
        <v>0.669912740593397</v>
      </c>
    </row>
    <row r="109" customFormat="false" ht="15" hidden="false" customHeight="false" outlineLevel="0" collapsed="false">
      <c r="A109" s="0" t="n">
        <v>1100411</v>
      </c>
      <c r="B109" s="0" t="s">
        <v>36</v>
      </c>
      <c r="C109" s="3" t="n">
        <v>43963.583275463</v>
      </c>
      <c r="D109" s="0" t="n">
        <v>2663</v>
      </c>
      <c r="E109" s="0" t="n">
        <v>9900</v>
      </c>
      <c r="F109" s="2" t="n">
        <f aca="false">MIN(D109/E109,1)</f>
        <v>0.268989898989899</v>
      </c>
      <c r="G109" s="2" t="n">
        <f aca="false">(DATE(2020,5,18)-C109)/7</f>
        <v>0.773817791005291</v>
      </c>
      <c r="H109" s="2" t="n">
        <f aca="false">F109*0.5^(G109/4)</f>
        <v>0.235234155312747</v>
      </c>
    </row>
    <row r="110" customFormat="false" ht="15" hidden="false" customHeight="false" outlineLevel="0" collapsed="false">
      <c r="A110" s="0" t="n">
        <v>1100411</v>
      </c>
      <c r="B110" s="0" t="s">
        <v>36</v>
      </c>
      <c r="C110" s="3" t="n">
        <v>43963.6889699074</v>
      </c>
      <c r="D110" s="0" t="n">
        <v>102</v>
      </c>
      <c r="E110" s="0" t="n">
        <v>3900</v>
      </c>
      <c r="F110" s="2" t="n">
        <f aca="false">MIN(D110/E110,1)</f>
        <v>0.0261538461538462</v>
      </c>
      <c r="G110" s="2" t="n">
        <f aca="false">(DATE(2020,5,18)-C110)/7</f>
        <v>0.758718584656085</v>
      </c>
      <c r="H110" s="2" t="n">
        <f aca="false">F110*0.5^(G110/4)</f>
        <v>0.0229317026462231</v>
      </c>
    </row>
    <row r="111" customFormat="false" ht="15" hidden="false" customHeight="false" outlineLevel="0" collapsed="false">
      <c r="A111" s="0" t="n">
        <v>1100411</v>
      </c>
      <c r="B111" s="0" t="s">
        <v>36</v>
      </c>
      <c r="C111" s="3" t="n">
        <v>43964.6593865741</v>
      </c>
      <c r="D111" s="0" t="n">
        <v>2729</v>
      </c>
      <c r="E111" s="0" t="n">
        <v>9900</v>
      </c>
      <c r="F111" s="2" t="n">
        <f aca="false">MIN(D111/E111,1)</f>
        <v>0.275656565656566</v>
      </c>
      <c r="G111" s="2" t="n">
        <f aca="false">(DATE(2020,5,18)-C111)/7</f>
        <v>0.620087632275132</v>
      </c>
      <c r="H111" s="2" t="n">
        <f aca="false">F111*0.5^(G111/4)</f>
        <v>0.24757232587208</v>
      </c>
    </row>
    <row r="112" customFormat="false" ht="15" hidden="false" customHeight="false" outlineLevel="0" collapsed="false">
      <c r="A112" s="0" t="n">
        <v>1100411</v>
      </c>
      <c r="B112" s="0" t="s">
        <v>36</v>
      </c>
      <c r="C112" s="3" t="n">
        <v>43964.6593865741</v>
      </c>
      <c r="D112" s="0" t="n">
        <v>3831</v>
      </c>
      <c r="E112" s="0" t="n">
        <v>3900</v>
      </c>
      <c r="F112" s="2" t="n">
        <f aca="false">MIN(D112/E112,1)</f>
        <v>0.982307692307692</v>
      </c>
      <c r="G112" s="2" t="n">
        <f aca="false">(DATE(2020,5,18)-C112)/7</f>
        <v>0.620087632275132</v>
      </c>
      <c r="H112" s="2" t="n">
        <f aca="false">F112*0.5^(G112/4)</f>
        <v>0.882228941390927</v>
      </c>
    </row>
    <row r="113" customFormat="false" ht="15" hidden="false" customHeight="false" outlineLevel="0" collapsed="false">
      <c r="A113" s="0" t="n">
        <v>1100411</v>
      </c>
      <c r="B113" s="0" t="s">
        <v>36</v>
      </c>
      <c r="C113" s="3" t="n">
        <v>43966.5832060185</v>
      </c>
      <c r="D113" s="0" t="n">
        <v>557</v>
      </c>
      <c r="E113" s="0" t="n">
        <v>9900</v>
      </c>
      <c r="F113" s="2" t="n">
        <f aca="false">MIN(D113/E113,1)</f>
        <v>0.0562626262626263</v>
      </c>
      <c r="G113" s="2" t="n">
        <f aca="false">(DATE(2020,5,18)-C113)/7</f>
        <v>0.345256283068783</v>
      </c>
      <c r="H113" s="2" t="n">
        <f aca="false">F113*0.5^(G113/4)</f>
        <v>0.0529952415789252</v>
      </c>
    </row>
    <row r="114" customFormat="false" ht="15" hidden="false" customHeight="false" outlineLevel="0" collapsed="false">
      <c r="A114" s="0" t="n">
        <v>1100411</v>
      </c>
      <c r="B114" s="0" t="s">
        <v>36</v>
      </c>
      <c r="C114" s="3" t="n">
        <v>43966.726087963</v>
      </c>
      <c r="D114" s="0" t="n">
        <v>588</v>
      </c>
      <c r="E114" s="0" t="n">
        <v>3900</v>
      </c>
      <c r="F114" s="2" t="n">
        <f aca="false">MIN(D114/E114,1)</f>
        <v>0.150769230769231</v>
      </c>
      <c r="G114" s="2" t="n">
        <f aca="false">(DATE(2020,5,18)-C114)/7</f>
        <v>0.324844576719577</v>
      </c>
      <c r="H114" s="2" t="n">
        <f aca="false">F114*0.5^(G114/4)</f>
        <v>0.142516690496999</v>
      </c>
    </row>
    <row r="115" customFormat="false" ht="15" hidden="false" customHeight="false" outlineLevel="0" collapsed="false">
      <c r="A115" s="0" t="n">
        <v>2400467</v>
      </c>
      <c r="B115" s="0" t="s">
        <v>30</v>
      </c>
      <c r="C115" s="3" t="n">
        <v>43901.7372685185</v>
      </c>
      <c r="D115" s="0" t="n">
        <v>1100</v>
      </c>
      <c r="E115" s="0" t="n">
        <v>1800</v>
      </c>
      <c r="F115" s="2" t="n">
        <f aca="false">MIN(D115/E115,1)</f>
        <v>0.611111111111111</v>
      </c>
      <c r="G115" s="2" t="n">
        <f aca="false">(DATE(2020,5,18)-C115)/7</f>
        <v>9.60896164021164</v>
      </c>
      <c r="H115" s="2" t="n">
        <f aca="false">F115*0.5^(G115/4)</f>
        <v>0.115604239174893</v>
      </c>
    </row>
    <row r="116" customFormat="false" ht="15" hidden="false" customHeight="false" outlineLevel="0" collapsed="false">
      <c r="A116" s="0" t="n">
        <v>2400467</v>
      </c>
      <c r="B116" s="0" t="s">
        <v>30</v>
      </c>
      <c r="C116" s="3" t="n">
        <v>43907.7309837963</v>
      </c>
      <c r="D116" s="0" t="n">
        <v>1643</v>
      </c>
      <c r="E116" s="0" t="n">
        <v>1800</v>
      </c>
      <c r="F116" s="2" t="n">
        <f aca="false">MIN(D116/E116,1)</f>
        <v>0.912777777777778</v>
      </c>
      <c r="G116" s="2" t="n">
        <f aca="false">(DATE(2020,5,18)-C116)/7</f>
        <v>8.7527166005291</v>
      </c>
      <c r="H116" s="2" t="n">
        <f aca="false">F116*0.5^(G116/4)</f>
        <v>0.200289184490434</v>
      </c>
    </row>
    <row r="117" customFormat="false" ht="15" hidden="false" customHeight="false" outlineLevel="0" collapsed="false">
      <c r="A117" s="0" t="n">
        <v>2400467</v>
      </c>
      <c r="B117" s="0" t="s">
        <v>30</v>
      </c>
      <c r="C117" s="3" t="n">
        <v>43908.2471875</v>
      </c>
      <c r="D117" s="0" t="n">
        <v>174</v>
      </c>
      <c r="E117" s="0" t="n">
        <v>1800</v>
      </c>
      <c r="F117" s="2" t="n">
        <f aca="false">MIN(D117/E117,1)</f>
        <v>0.0966666666666667</v>
      </c>
      <c r="G117" s="2" t="n">
        <f aca="false">(DATE(2020,5,18)-C117)/7</f>
        <v>8.67897321428571</v>
      </c>
      <c r="H117" s="2" t="n">
        <f aca="false">F117*0.5^(G117/4)</f>
        <v>0.0214841871019595</v>
      </c>
    </row>
    <row r="118" customFormat="false" ht="15" hidden="false" customHeight="false" outlineLevel="0" collapsed="false">
      <c r="A118" s="0" t="n">
        <v>2400467</v>
      </c>
      <c r="B118" s="0" t="s">
        <v>30</v>
      </c>
      <c r="C118" s="3" t="n">
        <v>43908.7331944444</v>
      </c>
      <c r="D118" s="0" t="n">
        <v>1452</v>
      </c>
      <c r="E118" s="0" t="n">
        <v>1800</v>
      </c>
      <c r="F118" s="2" t="n">
        <f aca="false">MIN(D118/E118,1)</f>
        <v>0.806666666666667</v>
      </c>
      <c r="G118" s="2" t="n">
        <f aca="false">(DATE(2020,5,18)-C118)/7</f>
        <v>8.60954365079365</v>
      </c>
      <c r="H118" s="2" t="n">
        <f aca="false">F118*0.5^(G118/4)</f>
        <v>0.18145184534857</v>
      </c>
    </row>
    <row r="119" customFormat="false" ht="15" hidden="false" customHeight="false" outlineLevel="0" collapsed="false">
      <c r="A119" s="0" t="n">
        <v>2400467</v>
      </c>
      <c r="B119" s="0" t="s">
        <v>30</v>
      </c>
      <c r="C119" s="3" t="n">
        <v>43909.7294444444</v>
      </c>
      <c r="D119" s="0" t="n">
        <v>1768</v>
      </c>
      <c r="E119" s="0" t="n">
        <v>1800</v>
      </c>
      <c r="F119" s="2" t="n">
        <f aca="false">MIN(D119/E119,1)</f>
        <v>0.982222222222222</v>
      </c>
      <c r="G119" s="2" t="n">
        <f aca="false">(DATE(2020,5,18)-C119)/7</f>
        <v>8.46722222222222</v>
      </c>
      <c r="H119" s="2" t="n">
        <f aca="false">F119*0.5^(G119/4)</f>
        <v>0.226458063046674</v>
      </c>
    </row>
    <row r="120" customFormat="false" ht="15" hidden="false" customHeight="false" outlineLevel="0" collapsed="false">
      <c r="A120" s="0" t="n">
        <v>2400467</v>
      </c>
      <c r="B120" s="0" t="s">
        <v>30</v>
      </c>
      <c r="C120" s="3" t="n">
        <v>43910.7297222222</v>
      </c>
      <c r="D120" s="0" t="n">
        <v>1752</v>
      </c>
      <c r="E120" s="0" t="n">
        <v>1800</v>
      </c>
      <c r="F120" s="2" t="n">
        <f aca="false">MIN(D120/E120,1)</f>
        <v>0.973333333333333</v>
      </c>
      <c r="G120" s="2" t="n">
        <f aca="false">(DATE(2020,5,18)-C120)/7</f>
        <v>8.3243253968254</v>
      </c>
      <c r="H120" s="2" t="n">
        <f aca="false">F120*0.5^(G120/4)</f>
        <v>0.230034877073236</v>
      </c>
    </row>
    <row r="121" customFormat="false" ht="15" hidden="false" customHeight="false" outlineLevel="0" collapsed="false">
      <c r="A121" s="0" t="n">
        <v>2400467</v>
      </c>
      <c r="B121" s="0" t="s">
        <v>30</v>
      </c>
      <c r="C121" s="3" t="n">
        <v>43915.733275463</v>
      </c>
      <c r="D121" s="0" t="n">
        <v>1445</v>
      </c>
      <c r="E121" s="0" t="n">
        <v>1800</v>
      </c>
      <c r="F121" s="2" t="n">
        <f aca="false">MIN(D121/E121,1)</f>
        <v>0.802777777777778</v>
      </c>
      <c r="G121" s="2" t="n">
        <f aca="false">(DATE(2020,5,18)-C121)/7</f>
        <v>7.60953207671958</v>
      </c>
      <c r="H121" s="2" t="n">
        <f aca="false">F121*0.5^(G121/4)</f>
        <v>0.214743976065751</v>
      </c>
    </row>
    <row r="122" customFormat="false" ht="15" hidden="false" customHeight="false" outlineLevel="0" collapsed="false">
      <c r="A122" s="0" t="n">
        <v>2400467</v>
      </c>
      <c r="B122" s="0" t="s">
        <v>30</v>
      </c>
      <c r="C122" s="3" t="n">
        <v>43916.2078009259</v>
      </c>
      <c r="D122" s="0" t="n">
        <v>2100</v>
      </c>
      <c r="E122" s="0" t="n">
        <v>2100</v>
      </c>
      <c r="F122" s="2" t="n">
        <f aca="false">MIN(D122/E122,1)</f>
        <v>1</v>
      </c>
      <c r="G122" s="2" t="n">
        <f aca="false">(DATE(2020,5,18)-C122)/7</f>
        <v>7.54174272486773</v>
      </c>
      <c r="H122" s="2" t="n">
        <f aca="false">F122*0.5^(G122/4)</f>
        <v>0.270662011490652</v>
      </c>
    </row>
    <row r="123" customFormat="false" ht="15" hidden="false" customHeight="false" outlineLevel="0" collapsed="false">
      <c r="A123" s="0" t="n">
        <v>2400467</v>
      </c>
      <c r="B123" s="0" t="s">
        <v>30</v>
      </c>
      <c r="C123" s="3" t="n">
        <v>43918.2234606482</v>
      </c>
      <c r="D123" s="0" t="n">
        <v>1693</v>
      </c>
      <c r="E123" s="0" t="n">
        <v>2100</v>
      </c>
      <c r="F123" s="2" t="n">
        <f aca="false">MIN(D123/E123,1)</f>
        <v>0.806190476190476</v>
      </c>
      <c r="G123" s="2" t="n">
        <f aca="false">(DATE(2020,5,18)-C123)/7</f>
        <v>7.25379133597884</v>
      </c>
      <c r="H123" s="2" t="n">
        <f aca="false">F123*0.5^(G123/4)</f>
        <v>0.229369395374977</v>
      </c>
    </row>
    <row r="124" customFormat="false" ht="15" hidden="false" customHeight="false" outlineLevel="0" collapsed="false">
      <c r="A124" s="0" t="n">
        <v>2400467</v>
      </c>
      <c r="B124" s="0" t="s">
        <v>30</v>
      </c>
      <c r="C124" s="3" t="n">
        <v>43922.7292361111</v>
      </c>
      <c r="D124" s="0" t="n">
        <v>1794</v>
      </c>
      <c r="E124" s="0" t="n">
        <v>1800</v>
      </c>
      <c r="F124" s="2" t="n">
        <f aca="false">MIN(D124/E124,1)</f>
        <v>0.996666666666667</v>
      </c>
      <c r="G124" s="2" t="n">
        <f aca="false">(DATE(2020,5,18)-C124)/7</f>
        <v>6.61010912698413</v>
      </c>
      <c r="H124" s="2" t="n">
        <f aca="false">F124*0.5^(G124/4)</f>
        <v>0.317022183706658</v>
      </c>
    </row>
    <row r="125" customFormat="false" ht="15" hidden="false" customHeight="false" outlineLevel="0" collapsed="false">
      <c r="A125" s="0" t="n">
        <v>2400467</v>
      </c>
      <c r="B125" s="0" t="s">
        <v>30</v>
      </c>
      <c r="C125" s="3" t="n">
        <v>43928.7346412037</v>
      </c>
      <c r="D125" s="0" t="n">
        <v>332</v>
      </c>
      <c r="E125" s="0" t="n">
        <v>1800</v>
      </c>
      <c r="F125" s="2" t="n">
        <f aca="false">MIN(D125/E125,1)</f>
        <v>0.184444444444444</v>
      </c>
      <c r="G125" s="2" t="n">
        <f aca="false">(DATE(2020,5,18)-C125)/7</f>
        <v>5.75219411375661</v>
      </c>
      <c r="H125" s="2" t="n">
        <f aca="false">F125*0.5^(G125/4)</f>
        <v>0.0680722077881323</v>
      </c>
    </row>
    <row r="126" customFormat="false" ht="15" hidden="false" customHeight="false" outlineLevel="0" collapsed="false">
      <c r="A126" s="0" t="n">
        <v>2400467</v>
      </c>
      <c r="B126" s="0" t="s">
        <v>30</v>
      </c>
      <c r="C126" s="3" t="n">
        <v>43929.7315972222</v>
      </c>
      <c r="D126" s="0" t="n">
        <v>847</v>
      </c>
      <c r="E126" s="0" t="n">
        <v>1800</v>
      </c>
      <c r="F126" s="2" t="n">
        <f aca="false">MIN(D126/E126,1)</f>
        <v>0.470555555555556</v>
      </c>
      <c r="G126" s="2" t="n">
        <f aca="false">(DATE(2020,5,18)-C126)/7</f>
        <v>5.60977182539683</v>
      </c>
      <c r="H126" s="2" t="n">
        <f aca="false">F126*0.5^(G126/4)</f>
        <v>0.178005535595621</v>
      </c>
    </row>
    <row r="127" customFormat="false" ht="15" hidden="false" customHeight="false" outlineLevel="0" collapsed="false">
      <c r="A127" s="0" t="n">
        <v>2400467</v>
      </c>
      <c r="B127" s="0" t="s">
        <v>30</v>
      </c>
      <c r="C127" s="3" t="n">
        <v>43942.7333912037</v>
      </c>
      <c r="D127" s="0" t="n">
        <v>1435</v>
      </c>
      <c r="E127" s="0" t="n">
        <v>1800</v>
      </c>
      <c r="F127" s="2" t="n">
        <f aca="false">MIN(D127/E127,1)</f>
        <v>0.797222222222222</v>
      </c>
      <c r="G127" s="2" t="n">
        <f aca="false">(DATE(2020,5,18)-C127)/7</f>
        <v>3.75237268518519</v>
      </c>
      <c r="H127" s="2" t="n">
        <f aca="false">F127*0.5^(G127/4)</f>
        <v>0.416088020868204</v>
      </c>
    </row>
    <row r="128" customFormat="false" ht="15" hidden="false" customHeight="false" outlineLevel="0" collapsed="false">
      <c r="A128" s="0" t="n">
        <v>2400467</v>
      </c>
      <c r="B128" s="0" t="s">
        <v>30</v>
      </c>
      <c r="C128" s="3" t="n">
        <v>43943.7333449074</v>
      </c>
      <c r="D128" s="0" t="n">
        <v>1439</v>
      </c>
      <c r="E128" s="0" t="n">
        <v>1800</v>
      </c>
      <c r="F128" s="2" t="n">
        <f aca="false">MIN(D128/E128,1)</f>
        <v>0.799444444444444</v>
      </c>
      <c r="G128" s="2" t="n">
        <f aca="false">(DATE(2020,5,18)-C128)/7</f>
        <v>3.60952215608466</v>
      </c>
      <c r="H128" s="2" t="n">
        <f aca="false">F128*0.5^(G128/4)</f>
        <v>0.427705346427851</v>
      </c>
    </row>
    <row r="129" customFormat="false" ht="15" hidden="false" customHeight="false" outlineLevel="0" collapsed="false">
      <c r="A129" s="0" t="n">
        <v>2400467</v>
      </c>
      <c r="B129" s="0" t="s">
        <v>30</v>
      </c>
      <c r="C129" s="3" t="n">
        <v>43945.7425925926</v>
      </c>
      <c r="D129" s="0" t="n">
        <v>371</v>
      </c>
      <c r="E129" s="0" t="n">
        <v>1800</v>
      </c>
      <c r="F129" s="2" t="n">
        <f aca="false">MIN(D129/E129,1)</f>
        <v>0.206111111111111</v>
      </c>
      <c r="G129" s="2" t="n">
        <f aca="false">(DATE(2020,5,18)-C129)/7</f>
        <v>3.32248677248677</v>
      </c>
      <c r="H129" s="2" t="n">
        <f aca="false">F129*0.5^(G129/4)</f>
        <v>0.115893574990432</v>
      </c>
    </row>
    <row r="130" customFormat="false" ht="15" hidden="false" customHeight="false" outlineLevel="0" collapsed="false">
      <c r="A130" s="0" t="n">
        <v>2400467</v>
      </c>
      <c r="B130" s="0" t="s">
        <v>30</v>
      </c>
      <c r="C130" s="3" t="n">
        <v>43948.7303240741</v>
      </c>
      <c r="D130" s="0" t="n">
        <v>540</v>
      </c>
      <c r="E130" s="0" t="n">
        <v>1800</v>
      </c>
      <c r="F130" s="2" t="n">
        <f aca="false">MIN(D130/E130,1)</f>
        <v>0.3</v>
      </c>
      <c r="G130" s="2" t="n">
        <f aca="false">(DATE(2020,5,18)-C130)/7</f>
        <v>2.89566798941799</v>
      </c>
      <c r="H130" s="2" t="n">
        <f aca="false">F130*0.5^(G130/4)</f>
        <v>0.181635412331184</v>
      </c>
    </row>
    <row r="131" customFormat="false" ht="15" hidden="false" customHeight="false" outlineLevel="0" collapsed="false">
      <c r="A131" s="0" t="n">
        <v>2400467</v>
      </c>
      <c r="B131" s="0" t="s">
        <v>30</v>
      </c>
      <c r="C131" s="3" t="n">
        <v>43949.7297453704</v>
      </c>
      <c r="D131" s="0" t="n">
        <v>1630</v>
      </c>
      <c r="E131" s="0" t="n">
        <v>1800</v>
      </c>
      <c r="F131" s="2" t="n">
        <f aca="false">MIN(D131/E131,1)</f>
        <v>0.905555555555556</v>
      </c>
      <c r="G131" s="2" t="n">
        <f aca="false">(DATE(2020,5,18)-C131)/7</f>
        <v>2.75289351851852</v>
      </c>
      <c r="H131" s="2" t="n">
        <f aca="false">F131*0.5^(G131/4)</f>
        <v>0.562003756318991</v>
      </c>
    </row>
    <row r="132" customFormat="false" ht="15" hidden="false" customHeight="false" outlineLevel="0" collapsed="false">
      <c r="A132" s="0" t="n">
        <v>2400467</v>
      </c>
      <c r="B132" s="0" t="s">
        <v>30</v>
      </c>
      <c r="C132" s="3" t="n">
        <v>43949.9283333333</v>
      </c>
      <c r="D132" s="0" t="n">
        <v>1692</v>
      </c>
      <c r="E132" s="0" t="n">
        <v>2700</v>
      </c>
      <c r="F132" s="2" t="n">
        <f aca="false">MIN(D132/E132,1)</f>
        <v>0.626666666666667</v>
      </c>
      <c r="G132" s="2" t="n">
        <f aca="false">(DATE(2020,5,18)-C132)/7</f>
        <v>2.72452380952381</v>
      </c>
      <c r="H132" s="2" t="n">
        <f aca="false">F132*0.5^(G132/4)</f>
        <v>0.390837068259488</v>
      </c>
    </row>
    <row r="133" customFormat="false" ht="15" hidden="false" customHeight="false" outlineLevel="0" collapsed="false">
      <c r="A133" s="0" t="n">
        <v>2400467</v>
      </c>
      <c r="B133" s="0" t="s">
        <v>30</v>
      </c>
      <c r="C133" s="3" t="n">
        <v>43950.7199768519</v>
      </c>
      <c r="D133" s="0" t="n">
        <v>330</v>
      </c>
      <c r="E133" s="0" t="n">
        <v>1800</v>
      </c>
      <c r="F133" s="2" t="n">
        <f aca="false">MIN(D133/E133,1)</f>
        <v>0.183333333333333</v>
      </c>
      <c r="G133" s="2" t="n">
        <f aca="false">(DATE(2020,5,18)-C133)/7</f>
        <v>2.61143187830688</v>
      </c>
      <c r="H133" s="2" t="n">
        <f aca="false">F133*0.5^(G133/4)</f>
        <v>0.11660350443346</v>
      </c>
    </row>
    <row r="134" customFormat="false" ht="15" hidden="false" customHeight="false" outlineLevel="0" collapsed="false">
      <c r="A134" s="0" t="n">
        <v>2400467</v>
      </c>
      <c r="B134" s="0" t="s">
        <v>30</v>
      </c>
      <c r="C134" s="3" t="n">
        <v>43951.7340277778</v>
      </c>
      <c r="D134" s="0" t="n">
        <v>1380</v>
      </c>
      <c r="E134" s="0" t="n">
        <v>1800</v>
      </c>
      <c r="F134" s="2" t="n">
        <f aca="false">MIN(D134/E134,1)</f>
        <v>0.766666666666667</v>
      </c>
      <c r="G134" s="2" t="n">
        <f aca="false">(DATE(2020,5,18)-C134)/7</f>
        <v>2.46656746031746</v>
      </c>
      <c r="H134" s="2" t="n">
        <f aca="false">F134*0.5^(G134/4)</f>
        <v>0.500010222420472</v>
      </c>
    </row>
    <row r="135" customFormat="false" ht="15" hidden="false" customHeight="false" outlineLevel="0" collapsed="false">
      <c r="A135" s="0" t="n">
        <v>2400467</v>
      </c>
      <c r="B135" s="0" t="s">
        <v>30</v>
      </c>
      <c r="C135" s="3" t="n">
        <v>43955.7298842593</v>
      </c>
      <c r="D135" s="0" t="n">
        <v>1547</v>
      </c>
      <c r="E135" s="0" t="n">
        <v>1800</v>
      </c>
      <c r="F135" s="2" t="n">
        <f aca="false">MIN(D135/E135,1)</f>
        <v>0.859444444444445</v>
      </c>
      <c r="G135" s="2" t="n">
        <f aca="false">(DATE(2020,5,18)-C135)/7</f>
        <v>1.89573082010582</v>
      </c>
      <c r="H135" s="2" t="n">
        <f aca="false">F135*0.5^(G135/4)</f>
        <v>0.618799349460729</v>
      </c>
    </row>
    <row r="136" customFormat="false" ht="15" hidden="false" customHeight="false" outlineLevel="0" collapsed="false">
      <c r="A136" s="0" t="n">
        <v>2400467</v>
      </c>
      <c r="B136" s="0" t="s">
        <v>30</v>
      </c>
      <c r="C136" s="3" t="n">
        <v>43956.7324421296</v>
      </c>
      <c r="D136" s="0" t="n">
        <v>1378</v>
      </c>
      <c r="E136" s="0" t="n">
        <v>1800</v>
      </c>
      <c r="F136" s="2" t="n">
        <f aca="false">MIN(D136/E136,1)</f>
        <v>0.765555555555556</v>
      </c>
      <c r="G136" s="2" t="n">
        <f aca="false">(DATE(2020,5,18)-C136)/7</f>
        <v>1.75250826719577</v>
      </c>
      <c r="H136" s="2" t="n">
        <f aca="false">F136*0.5^(G136/4)</f>
        <v>0.565050577925886</v>
      </c>
    </row>
    <row r="137" customFormat="false" ht="15" hidden="false" customHeight="false" outlineLevel="0" collapsed="false">
      <c r="A137" s="0" t="n">
        <v>2400467</v>
      </c>
      <c r="B137" s="0" t="s">
        <v>30</v>
      </c>
      <c r="C137" s="3" t="n">
        <v>43956.9204398148</v>
      </c>
      <c r="D137" s="0" t="n">
        <v>1399</v>
      </c>
      <c r="E137" s="0" t="n">
        <v>2400</v>
      </c>
      <c r="F137" s="2" t="n">
        <f aca="false">MIN(D137/E137,1)</f>
        <v>0.582916666666667</v>
      </c>
      <c r="G137" s="2" t="n">
        <f aca="false">(DATE(2020,5,18)-C137)/7</f>
        <v>1.72565145502646</v>
      </c>
      <c r="H137" s="2" t="n">
        <f aca="false">F137*0.5^(G137/4)</f>
        <v>0.432253243001503</v>
      </c>
    </row>
    <row r="138" customFormat="false" ht="15" hidden="false" customHeight="false" outlineLevel="0" collapsed="false">
      <c r="A138" s="0" t="n">
        <v>2400467</v>
      </c>
      <c r="B138" s="0" t="s">
        <v>30</v>
      </c>
      <c r="C138" s="3" t="n">
        <v>43957.7348842593</v>
      </c>
      <c r="D138" s="0" t="n">
        <v>1306</v>
      </c>
      <c r="E138" s="0" t="n">
        <v>1800</v>
      </c>
      <c r="F138" s="2" t="n">
        <f aca="false">MIN(D138/E138,1)</f>
        <v>0.725555555555556</v>
      </c>
      <c r="G138" s="2" t="n">
        <f aca="false">(DATE(2020,5,18)-C138)/7</f>
        <v>1.60930224867725</v>
      </c>
      <c r="H138" s="2" t="n">
        <f aca="false">F138*0.5^(G138/4)</f>
        <v>0.548982637787137</v>
      </c>
    </row>
    <row r="139" customFormat="false" ht="15" hidden="false" customHeight="false" outlineLevel="0" collapsed="false">
      <c r="A139" s="0" t="n">
        <v>2400467</v>
      </c>
      <c r="B139" s="0" t="s">
        <v>30</v>
      </c>
      <c r="C139" s="3" t="n">
        <v>43963.7298148148</v>
      </c>
      <c r="D139" s="0" t="n">
        <v>2322</v>
      </c>
      <c r="E139" s="0" t="n">
        <v>2700</v>
      </c>
      <c r="F139" s="2" t="n">
        <f aca="false">MIN(D139/E139,1)</f>
        <v>0.86</v>
      </c>
      <c r="G139" s="2" t="n">
        <f aca="false">(DATE(2020,5,18)-C139)/7</f>
        <v>0.752883597883598</v>
      </c>
      <c r="H139" s="2" t="n">
        <f aca="false">F139*0.5^(G139/4)</f>
        <v>0.754811163546209</v>
      </c>
    </row>
    <row r="140" customFormat="false" ht="15" hidden="false" customHeight="false" outlineLevel="0" collapsed="false">
      <c r="A140" s="0" t="n">
        <v>2400467</v>
      </c>
      <c r="B140" s="0" t="s">
        <v>30</v>
      </c>
      <c r="C140" s="3" t="n">
        <v>43964.7353125</v>
      </c>
      <c r="D140" s="0" t="n">
        <v>2169</v>
      </c>
      <c r="E140" s="0" t="n">
        <v>2700</v>
      </c>
      <c r="F140" s="2" t="n">
        <f aca="false">MIN(D140/E140,1)</f>
        <v>0.803333333333333</v>
      </c>
      <c r="G140" s="2" t="n">
        <f aca="false">(DATE(2020,5,18)-C140)/7</f>
        <v>0.609241071428571</v>
      </c>
      <c r="H140" s="2" t="n">
        <f aca="false">F140*0.5^(G140/4)</f>
        <v>0.722846077339799</v>
      </c>
    </row>
    <row r="141" customFormat="false" ht="15" hidden="false" customHeight="false" outlineLevel="0" collapsed="false">
      <c r="A141" s="0" t="n">
        <v>2400467</v>
      </c>
      <c r="B141" s="0" t="s">
        <v>30</v>
      </c>
      <c r="C141" s="3" t="n">
        <v>43966.7328935185</v>
      </c>
      <c r="D141" s="0" t="n">
        <v>1221</v>
      </c>
      <c r="E141" s="0" t="n">
        <v>2700</v>
      </c>
      <c r="F141" s="2" t="n">
        <f aca="false">MIN(D141/E141,1)</f>
        <v>0.452222222222222</v>
      </c>
      <c r="G141" s="2" t="n">
        <f aca="false">(DATE(2020,5,18)-C141)/7</f>
        <v>0.323872354497354</v>
      </c>
      <c r="H141" s="2" t="n">
        <f aca="false">F141*0.5^(G141/4)</f>
        <v>0.427541302931845</v>
      </c>
    </row>
    <row r="142" customFormat="false" ht="15" hidden="false" customHeight="false" outlineLevel="0" collapsed="false">
      <c r="A142" s="0" t="n">
        <v>2400480</v>
      </c>
      <c r="B142" s="0" t="s">
        <v>59</v>
      </c>
      <c r="C142" s="3" t="n">
        <v>43899.3655787037</v>
      </c>
      <c r="D142" s="0" t="n">
        <v>1181</v>
      </c>
      <c r="E142" s="0" t="n">
        <v>5400</v>
      </c>
      <c r="F142" s="2" t="n">
        <f aca="false">MIN(D142/E142,1)</f>
        <v>0.218703703703704</v>
      </c>
      <c r="G142" s="2" t="n">
        <f aca="false">(DATE(2020,5,18)-C142)/7</f>
        <v>9.94777447089947</v>
      </c>
      <c r="H142" s="2" t="n">
        <f aca="false">F142*0.5^(G142/4)</f>
        <v>0.0390131943581716</v>
      </c>
    </row>
    <row r="143" customFormat="false" ht="15" hidden="false" customHeight="false" outlineLevel="0" collapsed="false">
      <c r="A143" s="0" t="n">
        <v>2400480</v>
      </c>
      <c r="B143" s="0" t="s">
        <v>59</v>
      </c>
      <c r="C143" s="3" t="n">
        <v>43899.8289930556</v>
      </c>
      <c r="D143" s="0" t="n">
        <v>1275</v>
      </c>
      <c r="E143" s="0" t="n">
        <v>2700</v>
      </c>
      <c r="F143" s="2" t="n">
        <f aca="false">MIN(D143/E143,1)</f>
        <v>0.472222222222222</v>
      </c>
      <c r="G143" s="2" t="n">
        <f aca="false">(DATE(2020,5,18)-C143)/7</f>
        <v>9.88157242063492</v>
      </c>
      <c r="H143" s="2" t="n">
        <f aca="false">F143*0.5^(G143/4)</f>
        <v>0.0852087108699518</v>
      </c>
    </row>
    <row r="144" customFormat="false" ht="15" hidden="false" customHeight="false" outlineLevel="0" collapsed="false">
      <c r="A144" s="0" t="n">
        <v>2400480</v>
      </c>
      <c r="B144" s="0" t="s">
        <v>59</v>
      </c>
      <c r="C144" s="3" t="n">
        <v>43900.7122569445</v>
      </c>
      <c r="D144" s="0" t="n">
        <v>261</v>
      </c>
      <c r="E144" s="0" t="n">
        <v>1500</v>
      </c>
      <c r="F144" s="2" t="n">
        <f aca="false">MIN(D144/E144,1)</f>
        <v>0.174</v>
      </c>
      <c r="G144" s="2" t="n">
        <f aca="false">(DATE(2020,5,18)-C144)/7</f>
        <v>9.75539186507936</v>
      </c>
      <c r="H144" s="2" t="n">
        <f aca="false">F144*0.5^(G144/4)</f>
        <v>0.0320909708160769</v>
      </c>
    </row>
    <row r="145" customFormat="false" ht="15" hidden="false" customHeight="false" outlineLevel="0" collapsed="false">
      <c r="A145" s="0" t="n">
        <v>2400480</v>
      </c>
      <c r="B145" s="0" t="s">
        <v>59</v>
      </c>
      <c r="C145" s="3" t="n">
        <v>43900.8136574074</v>
      </c>
      <c r="D145" s="0" t="n">
        <v>1540</v>
      </c>
      <c r="E145" s="0" t="n">
        <v>4500</v>
      </c>
      <c r="F145" s="2" t="n">
        <f aca="false">MIN(D145/E145,1)</f>
        <v>0.342222222222222</v>
      </c>
      <c r="G145" s="2" t="n">
        <f aca="false">(DATE(2020,5,18)-C145)/7</f>
        <v>9.74090608465609</v>
      </c>
      <c r="H145" s="2" t="n">
        <f aca="false">F145*0.5^(G145/4)</f>
        <v>0.0632749743755643</v>
      </c>
    </row>
    <row r="146" customFormat="false" ht="15" hidden="false" customHeight="false" outlineLevel="0" collapsed="false">
      <c r="A146" s="0" t="n">
        <v>2400480</v>
      </c>
      <c r="B146" s="0" t="s">
        <v>59</v>
      </c>
      <c r="C146" s="3" t="n">
        <v>43901.2508217593</v>
      </c>
      <c r="D146" s="0" t="n">
        <v>151</v>
      </c>
      <c r="E146" s="0" t="n">
        <v>4200</v>
      </c>
      <c r="F146" s="2" t="n">
        <f aca="false">MIN(D146/E146,1)</f>
        <v>0.035952380952381</v>
      </c>
      <c r="G146" s="2" t="n">
        <f aca="false">(DATE(2020,5,18)-C146)/7</f>
        <v>9.67845403439154</v>
      </c>
      <c r="H146" s="2" t="n">
        <f aca="false">F146*0.5^(G146/4)</f>
        <v>0.00671972364878147</v>
      </c>
    </row>
    <row r="147" customFormat="false" ht="15" hidden="false" customHeight="false" outlineLevel="0" collapsed="false">
      <c r="A147" s="0" t="n">
        <v>2400480</v>
      </c>
      <c r="B147" s="0" t="s">
        <v>59</v>
      </c>
      <c r="C147" s="3" t="n">
        <v>43904.195625</v>
      </c>
      <c r="D147" s="0" t="n">
        <v>255</v>
      </c>
      <c r="E147" s="0" t="n">
        <v>2700</v>
      </c>
      <c r="F147" s="2" t="n">
        <f aca="false">MIN(D147/E147,1)</f>
        <v>0.0944444444444444</v>
      </c>
      <c r="G147" s="2" t="n">
        <f aca="false">(DATE(2020,5,18)-C147)/7</f>
        <v>9.25776785714286</v>
      </c>
      <c r="H147" s="2" t="n">
        <f aca="false">F147*0.5^(G147/4)</f>
        <v>0.0189871578884334</v>
      </c>
    </row>
    <row r="148" customFormat="false" ht="15" hidden="false" customHeight="false" outlineLevel="0" collapsed="false">
      <c r="A148" s="0" t="n">
        <v>2400480</v>
      </c>
      <c r="B148" s="0" t="s">
        <v>59</v>
      </c>
      <c r="C148" s="3" t="n">
        <v>43906.8259027778</v>
      </c>
      <c r="D148" s="0" t="n">
        <v>434</v>
      </c>
      <c r="E148" s="0" t="n">
        <v>4500</v>
      </c>
      <c r="F148" s="2" t="n">
        <f aca="false">MIN(D148/E148,1)</f>
        <v>0.0964444444444444</v>
      </c>
      <c r="G148" s="2" t="n">
        <f aca="false">(DATE(2020,5,18)-C148)/7</f>
        <v>8.88201388888889</v>
      </c>
      <c r="H148" s="2" t="n">
        <f aca="false">F148*0.5^(G148/4)</f>
        <v>0.0206937436639122</v>
      </c>
    </row>
    <row r="149" customFormat="false" ht="15" hidden="false" customHeight="false" outlineLevel="0" collapsed="false">
      <c r="A149" s="0" t="n">
        <v>2400480</v>
      </c>
      <c r="B149" s="0" t="s">
        <v>59</v>
      </c>
      <c r="C149" s="3" t="n">
        <v>43907.8530208333</v>
      </c>
      <c r="D149" s="0" t="n">
        <v>931</v>
      </c>
      <c r="E149" s="0" t="n">
        <v>4500</v>
      </c>
      <c r="F149" s="2" t="n">
        <f aca="false">MIN(D149/E149,1)</f>
        <v>0.206888888888889</v>
      </c>
      <c r="G149" s="2" t="n">
        <f aca="false">(DATE(2020,5,18)-C149)/7</f>
        <v>8.73528273809524</v>
      </c>
      <c r="H149" s="2" t="n">
        <f aca="false">F149*0.5^(G149/4)</f>
        <v>0.0455346115496227</v>
      </c>
    </row>
    <row r="150" customFormat="false" ht="15" hidden="false" customHeight="false" outlineLevel="0" collapsed="false">
      <c r="A150" s="0" t="n">
        <v>2400480</v>
      </c>
      <c r="B150" s="0" t="s">
        <v>59</v>
      </c>
      <c r="C150" s="3" t="n">
        <v>43910.2581134259</v>
      </c>
      <c r="D150" s="0" t="n">
        <v>390</v>
      </c>
      <c r="E150" s="0" t="n">
        <v>4200</v>
      </c>
      <c r="F150" s="2" t="n">
        <f aca="false">MIN(D150/E150,1)</f>
        <v>0.0928571428571429</v>
      </c>
      <c r="G150" s="2" t="n">
        <f aca="false">(DATE(2020,5,18)-C150)/7</f>
        <v>8.39169808201058</v>
      </c>
      <c r="H150" s="2" t="n">
        <f aca="false">F150*0.5^(G150/4)</f>
        <v>0.0216908767835158</v>
      </c>
    </row>
    <row r="151" customFormat="false" ht="15" hidden="false" customHeight="false" outlineLevel="0" collapsed="false">
      <c r="A151" s="0" t="n">
        <v>2400480</v>
      </c>
      <c r="B151" s="0" t="s">
        <v>59</v>
      </c>
      <c r="C151" s="3" t="n">
        <v>43910.8396064815</v>
      </c>
      <c r="D151" s="0" t="n">
        <v>92</v>
      </c>
      <c r="E151" s="0" t="n">
        <v>2700</v>
      </c>
      <c r="F151" s="2" t="n">
        <f aca="false">MIN(D151/E151,1)</f>
        <v>0.0340740740740741</v>
      </c>
      <c r="G151" s="2" t="n">
        <f aca="false">(DATE(2020,5,18)-C151)/7</f>
        <v>8.30862764550265</v>
      </c>
      <c r="H151" s="2" t="n">
        <f aca="false">F151*0.5^(G151/4)</f>
        <v>0.00807490696223833</v>
      </c>
    </row>
    <row r="152" customFormat="false" ht="15" hidden="false" customHeight="false" outlineLevel="0" collapsed="false">
      <c r="A152" s="0" t="n">
        <v>2400480</v>
      </c>
      <c r="B152" s="0" t="s">
        <v>59</v>
      </c>
      <c r="C152" s="3" t="n">
        <v>43911.8217592593</v>
      </c>
      <c r="D152" s="0" t="n">
        <v>1394</v>
      </c>
      <c r="E152" s="0" t="n">
        <v>2700</v>
      </c>
      <c r="F152" s="2" t="n">
        <f aca="false">MIN(D152/E152,1)</f>
        <v>0.516296296296296</v>
      </c>
      <c r="G152" s="2" t="n">
        <f aca="false">(DATE(2020,5,18)-C152)/7</f>
        <v>8.16832010582011</v>
      </c>
      <c r="H152" s="2" t="n">
        <f aca="false">F152*0.5^(G152/4)</f>
        <v>0.12536366149907</v>
      </c>
    </row>
    <row r="153" customFormat="false" ht="15" hidden="false" customHeight="false" outlineLevel="0" collapsed="false">
      <c r="A153" s="0" t="n">
        <v>2400480</v>
      </c>
      <c r="B153" s="0" t="s">
        <v>59</v>
      </c>
      <c r="C153" s="3" t="n">
        <v>43913.8624768519</v>
      </c>
      <c r="D153" s="0" t="n">
        <v>182</v>
      </c>
      <c r="E153" s="0" t="n">
        <v>4500</v>
      </c>
      <c r="F153" s="2" t="n">
        <f aca="false">MIN(D153/E153,1)</f>
        <v>0.0404444444444444</v>
      </c>
      <c r="G153" s="2" t="n">
        <f aca="false">(DATE(2020,5,18)-C153)/7</f>
        <v>7.87678902116402</v>
      </c>
      <c r="H153" s="2" t="n">
        <f aca="false">F153*0.5^(G153/4)</f>
        <v>0.0103293128887895</v>
      </c>
    </row>
    <row r="154" customFormat="false" ht="15" hidden="false" customHeight="false" outlineLevel="0" collapsed="false">
      <c r="A154" s="0" t="n">
        <v>2400480</v>
      </c>
      <c r="B154" s="0" t="s">
        <v>59</v>
      </c>
      <c r="C154" s="3" t="n">
        <v>43914.834375</v>
      </c>
      <c r="D154" s="0" t="n">
        <v>313</v>
      </c>
      <c r="E154" s="0" t="n">
        <v>4500</v>
      </c>
      <c r="F154" s="2" t="n">
        <f aca="false">MIN(D154/E154,1)</f>
        <v>0.0695555555555556</v>
      </c>
      <c r="G154" s="2" t="n">
        <f aca="false">(DATE(2020,5,18)-C154)/7</f>
        <v>7.73794642857143</v>
      </c>
      <c r="H154" s="2" t="n">
        <f aca="false">F154*0.5^(G154/4)</f>
        <v>0.0181967290643497</v>
      </c>
    </row>
    <row r="155" customFormat="false" ht="15" hidden="false" customHeight="false" outlineLevel="0" collapsed="false">
      <c r="A155" s="0" t="n">
        <v>2400480</v>
      </c>
      <c r="B155" s="0" t="s">
        <v>59</v>
      </c>
      <c r="C155" s="3" t="n">
        <v>43915.3363773148</v>
      </c>
      <c r="D155" s="0" t="n">
        <v>337</v>
      </c>
      <c r="E155" s="0" t="n">
        <v>600</v>
      </c>
      <c r="F155" s="2" t="n">
        <f aca="false">MIN(D155/E155,1)</f>
        <v>0.561666666666667</v>
      </c>
      <c r="G155" s="2" t="n">
        <f aca="false">(DATE(2020,5,18)-C155)/7</f>
        <v>7.66623181216931</v>
      </c>
      <c r="H155" s="2" t="n">
        <f aca="false">F155*0.5^(G155/4)</f>
        <v>0.1487774868033</v>
      </c>
    </row>
    <row r="156" customFormat="false" ht="15" hidden="false" customHeight="false" outlineLevel="0" collapsed="false">
      <c r="A156" s="0" t="n">
        <v>2400480</v>
      </c>
      <c r="B156" s="0" t="s">
        <v>59</v>
      </c>
      <c r="C156" s="3" t="n">
        <v>43915.3363773148</v>
      </c>
      <c r="D156" s="0" t="n">
        <v>600</v>
      </c>
      <c r="E156" s="0" t="n">
        <v>600</v>
      </c>
      <c r="F156" s="2" t="n">
        <f aca="false">MIN(D156/E156,1)</f>
        <v>1</v>
      </c>
      <c r="G156" s="2" t="n">
        <f aca="false">(DATE(2020,5,18)-C156)/7</f>
        <v>7.66623181216931</v>
      </c>
      <c r="H156" s="2" t="n">
        <f aca="false">F156*0.5^(G156/4)</f>
        <v>0.26488573318095</v>
      </c>
    </row>
    <row r="157" customFormat="false" ht="15" hidden="false" customHeight="false" outlineLevel="0" collapsed="false">
      <c r="A157" s="0" t="n">
        <v>2400480</v>
      </c>
      <c r="B157" s="0" t="s">
        <v>59</v>
      </c>
      <c r="C157" s="3" t="n">
        <v>43916.8370138889</v>
      </c>
      <c r="D157" s="0" t="n">
        <v>100</v>
      </c>
      <c r="E157" s="0" t="n">
        <v>3900</v>
      </c>
      <c r="F157" s="2" t="n">
        <f aca="false">MIN(D157/E157,1)</f>
        <v>0.0256410256410256</v>
      </c>
      <c r="G157" s="2" t="n">
        <f aca="false">(DATE(2020,5,18)-C157)/7</f>
        <v>7.45185515873016</v>
      </c>
      <c r="H157" s="2" t="n">
        <f aca="false">F157*0.5^(G157/4)</f>
        <v>0.00704899839111548</v>
      </c>
    </row>
    <row r="158" customFormat="false" ht="15" hidden="false" customHeight="false" outlineLevel="0" collapsed="false">
      <c r="A158" s="0" t="n">
        <v>2400480</v>
      </c>
      <c r="B158" s="0" t="s">
        <v>59</v>
      </c>
      <c r="C158" s="3" t="n">
        <v>43917.8315393519</v>
      </c>
      <c r="D158" s="0" t="n">
        <v>1055</v>
      </c>
      <c r="E158" s="0" t="n">
        <v>2700</v>
      </c>
      <c r="F158" s="2" t="n">
        <f aca="false">MIN(D158/E158,1)</f>
        <v>0.390740740740741</v>
      </c>
      <c r="G158" s="2" t="n">
        <f aca="false">(DATE(2020,5,18)-C158)/7</f>
        <v>7.30978009259259</v>
      </c>
      <c r="H158" s="2" t="n">
        <f aca="false">F158*0.5^(G158/4)</f>
        <v>0.110096351759078</v>
      </c>
    </row>
    <row r="159" customFormat="false" ht="15" hidden="false" customHeight="false" outlineLevel="0" collapsed="false">
      <c r="A159" s="0" t="n">
        <v>2400480</v>
      </c>
      <c r="B159" s="0" t="s">
        <v>59</v>
      </c>
      <c r="C159" s="3" t="n">
        <v>43919.8228125</v>
      </c>
      <c r="D159" s="0" t="n">
        <v>2498</v>
      </c>
      <c r="E159" s="0" t="n">
        <v>5400</v>
      </c>
      <c r="F159" s="2" t="n">
        <f aca="false">MIN(D159/E159,1)</f>
        <v>0.462592592592593</v>
      </c>
      <c r="G159" s="2" t="n">
        <f aca="false">(DATE(2020,5,18)-C159)/7</f>
        <v>7.0253125</v>
      </c>
      <c r="H159" s="2" t="n">
        <f aca="false">F159*0.5^(G159/4)</f>
        <v>0.136927672591714</v>
      </c>
    </row>
    <row r="160" customFormat="false" ht="15" hidden="false" customHeight="false" outlineLevel="0" collapsed="false">
      <c r="A160" s="0" t="n">
        <v>2400480</v>
      </c>
      <c r="B160" s="0" t="s">
        <v>59</v>
      </c>
      <c r="C160" s="3" t="n">
        <v>43920.7031134259</v>
      </c>
      <c r="D160" s="0" t="n">
        <v>1051</v>
      </c>
      <c r="E160" s="0" t="n">
        <v>1500</v>
      </c>
      <c r="F160" s="2" t="n">
        <f aca="false">MIN(D160/E160,1)</f>
        <v>0.700666666666667</v>
      </c>
      <c r="G160" s="2" t="n">
        <f aca="false">(DATE(2020,5,18)-C160)/7</f>
        <v>6.89955522486773</v>
      </c>
      <c r="H160" s="2" t="n">
        <f aca="false">F160*0.5^(G160/4)</f>
        <v>0.211966967734765</v>
      </c>
    </row>
    <row r="161" customFormat="false" ht="15" hidden="false" customHeight="false" outlineLevel="0" collapsed="false">
      <c r="A161" s="0" t="n">
        <v>2400480</v>
      </c>
      <c r="B161" s="0" t="s">
        <v>59</v>
      </c>
      <c r="C161" s="3" t="n">
        <v>43920.8454166667</v>
      </c>
      <c r="D161" s="0" t="n">
        <v>1656</v>
      </c>
      <c r="E161" s="0" t="n">
        <v>4500</v>
      </c>
      <c r="F161" s="2" t="n">
        <f aca="false">MIN(D161/E161,1)</f>
        <v>0.368</v>
      </c>
      <c r="G161" s="2" t="n">
        <f aca="false">(DATE(2020,5,18)-C161)/7</f>
        <v>6.87922619047619</v>
      </c>
      <c r="H161" s="2" t="n">
        <f aca="false">F161*0.5^(G161/4)</f>
        <v>0.111720909125342</v>
      </c>
    </row>
    <row r="162" customFormat="false" ht="15" hidden="false" customHeight="false" outlineLevel="0" collapsed="false">
      <c r="A162" s="0" t="n">
        <v>2400480</v>
      </c>
      <c r="B162" s="0" t="s">
        <v>59</v>
      </c>
      <c r="C162" s="3" t="n">
        <v>43921.8319791667</v>
      </c>
      <c r="D162" s="0" t="n">
        <v>771</v>
      </c>
      <c r="E162" s="0" t="n">
        <v>4500</v>
      </c>
      <c r="F162" s="2" t="n">
        <f aca="false">MIN(D162/E162,1)</f>
        <v>0.171333333333333</v>
      </c>
      <c r="G162" s="2" t="n">
        <f aca="false">(DATE(2020,5,18)-C162)/7</f>
        <v>6.73828869047619</v>
      </c>
      <c r="H162" s="2" t="n">
        <f aca="false">F162*0.5^(G162/4)</f>
        <v>0.0533009697338109</v>
      </c>
    </row>
    <row r="163" customFormat="false" ht="15" hidden="false" customHeight="false" outlineLevel="0" collapsed="false">
      <c r="A163" s="0" t="n">
        <v>2400480</v>
      </c>
      <c r="B163" s="0" t="s">
        <v>59</v>
      </c>
      <c r="C163" s="3" t="n">
        <v>43922.8512152778</v>
      </c>
      <c r="D163" s="0" t="n">
        <v>1155</v>
      </c>
      <c r="E163" s="0" t="n">
        <v>4500</v>
      </c>
      <c r="F163" s="2" t="n">
        <f aca="false">MIN(D163/E163,1)</f>
        <v>0.256666666666667</v>
      </c>
      <c r="G163" s="2" t="n">
        <f aca="false">(DATE(2020,5,18)-C163)/7</f>
        <v>6.59268353174603</v>
      </c>
      <c r="H163" s="2" t="n">
        <f aca="false">F163*0.5^(G163/4)</f>
        <v>0.0818880626946073</v>
      </c>
    </row>
    <row r="164" customFormat="false" ht="15" hidden="false" customHeight="false" outlineLevel="0" collapsed="false">
      <c r="A164" s="0" t="n">
        <v>2400480</v>
      </c>
      <c r="B164" s="0" t="s">
        <v>59</v>
      </c>
      <c r="C164" s="3" t="n">
        <v>43923.7141087963</v>
      </c>
      <c r="D164" s="0" t="n">
        <v>69</v>
      </c>
      <c r="E164" s="0" t="n">
        <v>1500</v>
      </c>
      <c r="F164" s="2" t="n">
        <f aca="false">MIN(D164/E164,1)</f>
        <v>0.046</v>
      </c>
      <c r="G164" s="2" t="n">
        <f aca="false">(DATE(2020,5,18)-C164)/7</f>
        <v>6.46941302910053</v>
      </c>
      <c r="H164" s="2" t="n">
        <f aca="false">F164*0.5^(G164/4)</f>
        <v>0.0149929118523134</v>
      </c>
    </row>
    <row r="165" customFormat="false" ht="15" hidden="false" customHeight="false" outlineLevel="0" collapsed="false">
      <c r="A165" s="0" t="n">
        <v>2400480</v>
      </c>
      <c r="B165" s="0" t="s">
        <v>59</v>
      </c>
      <c r="C165" s="3" t="n">
        <v>43924.2673032407</v>
      </c>
      <c r="D165" s="0" t="n">
        <v>305</v>
      </c>
      <c r="E165" s="0" t="n">
        <v>4200</v>
      </c>
      <c r="F165" s="2" t="n">
        <f aca="false">MIN(D165/E165,1)</f>
        <v>0.0726190476190476</v>
      </c>
      <c r="G165" s="2" t="n">
        <f aca="false">(DATE(2020,5,18)-C165)/7</f>
        <v>6.39038525132275</v>
      </c>
      <c r="H165" s="2" t="n">
        <f aca="false">F165*0.5^(G165/4)</f>
        <v>0.0239952974461749</v>
      </c>
    </row>
    <row r="166" customFormat="false" ht="15" hidden="false" customHeight="false" outlineLevel="0" collapsed="false">
      <c r="A166" s="0" t="n">
        <v>2400480</v>
      </c>
      <c r="B166" s="0" t="s">
        <v>59</v>
      </c>
      <c r="C166" s="3" t="n">
        <v>43926.8584490741</v>
      </c>
      <c r="D166" s="0" t="n">
        <v>671</v>
      </c>
      <c r="E166" s="0" t="n">
        <v>5400</v>
      </c>
      <c r="F166" s="2" t="n">
        <f aca="false">MIN(D166/E166,1)</f>
        <v>0.124259259259259</v>
      </c>
      <c r="G166" s="2" t="n">
        <f aca="false">(DATE(2020,5,18)-C166)/7</f>
        <v>6.02022156084656</v>
      </c>
      <c r="H166" s="2" t="n">
        <f aca="false">F166*0.5^(G166/4)</f>
        <v>0.043778607423909</v>
      </c>
    </row>
    <row r="167" customFormat="false" ht="15" hidden="false" customHeight="false" outlineLevel="0" collapsed="false">
      <c r="A167" s="0" t="n">
        <v>2400480</v>
      </c>
      <c r="B167" s="0" t="s">
        <v>59</v>
      </c>
      <c r="C167" s="3" t="n">
        <v>43927.8366898148</v>
      </c>
      <c r="D167" s="0" t="n">
        <v>725</v>
      </c>
      <c r="E167" s="0" t="n">
        <v>4500</v>
      </c>
      <c r="F167" s="2" t="n">
        <f aca="false">MIN(D167/E167,1)</f>
        <v>0.161111111111111</v>
      </c>
      <c r="G167" s="2" t="n">
        <f aca="false">(DATE(2020,5,18)-C167)/7</f>
        <v>5.88047288359788</v>
      </c>
      <c r="H167" s="2" t="n">
        <f aca="false">F167*0.5^(G167/4)</f>
        <v>0.0581534937108622</v>
      </c>
    </row>
    <row r="168" customFormat="false" ht="15" hidden="false" customHeight="false" outlineLevel="0" collapsed="false">
      <c r="A168" s="0" t="n">
        <v>2400480</v>
      </c>
      <c r="B168" s="0" t="s">
        <v>59</v>
      </c>
      <c r="C168" s="3" t="n">
        <v>43929.3336921296</v>
      </c>
      <c r="D168" s="0" t="n">
        <v>569</v>
      </c>
      <c r="E168" s="0" t="n">
        <v>600</v>
      </c>
      <c r="F168" s="2" t="n">
        <f aca="false">MIN(D168/E168,1)</f>
        <v>0.948333333333333</v>
      </c>
      <c r="G168" s="2" t="n">
        <f aca="false">(DATE(2020,5,18)-C168)/7</f>
        <v>5.66661541005291</v>
      </c>
      <c r="H168" s="2" t="n">
        <f aca="false">F168*0.5^(G168/4)</f>
        <v>0.355226791286702</v>
      </c>
    </row>
    <row r="169" customFormat="false" ht="15" hidden="false" customHeight="false" outlineLevel="0" collapsed="false">
      <c r="A169" s="0" t="n">
        <v>2400480</v>
      </c>
      <c r="B169" s="0" t="s">
        <v>59</v>
      </c>
      <c r="C169" s="3" t="n">
        <v>43929.8426967593</v>
      </c>
      <c r="D169" s="0" t="n">
        <v>364</v>
      </c>
      <c r="E169" s="0" t="n">
        <v>4500</v>
      </c>
      <c r="F169" s="2" t="n">
        <f aca="false">MIN(D169/E169,1)</f>
        <v>0.0808888888888889</v>
      </c>
      <c r="G169" s="2" t="n">
        <f aca="false">(DATE(2020,5,18)-C169)/7</f>
        <v>5.59390046296296</v>
      </c>
      <c r="H169" s="2" t="n">
        <f aca="false">F169*0.5^(G169/4)</f>
        <v>0.0306835716913076</v>
      </c>
    </row>
    <row r="170" customFormat="false" ht="15" hidden="false" customHeight="false" outlineLevel="0" collapsed="false">
      <c r="A170" s="0" t="n">
        <v>2400480</v>
      </c>
      <c r="B170" s="0" t="s">
        <v>59</v>
      </c>
      <c r="C170" s="3" t="n">
        <v>43931.8109143519</v>
      </c>
      <c r="D170" s="0" t="n">
        <v>317</v>
      </c>
      <c r="E170" s="0" t="n">
        <v>3900</v>
      </c>
      <c r="F170" s="2" t="n">
        <f aca="false">MIN(D170/E170,1)</f>
        <v>0.0812820512820513</v>
      </c>
      <c r="G170" s="2" t="n">
        <f aca="false">(DATE(2020,5,18)-C170)/7</f>
        <v>5.31272652116402</v>
      </c>
      <c r="H170" s="2" t="n">
        <f aca="false">F170*0.5^(G170/4)</f>
        <v>0.0323721947764518</v>
      </c>
    </row>
    <row r="171" customFormat="false" ht="15" hidden="false" customHeight="false" outlineLevel="0" collapsed="false">
      <c r="A171" s="0" t="n">
        <v>2400480</v>
      </c>
      <c r="B171" s="0" t="s">
        <v>59</v>
      </c>
      <c r="C171" s="3" t="n">
        <v>43933.2290509259</v>
      </c>
      <c r="D171" s="0" t="n">
        <v>250</v>
      </c>
      <c r="E171" s="0" t="n">
        <v>2100</v>
      </c>
      <c r="F171" s="2" t="n">
        <f aca="false">MIN(D171/E171,1)</f>
        <v>0.119047619047619</v>
      </c>
      <c r="G171" s="2" t="n">
        <f aca="false">(DATE(2020,5,18)-C171)/7</f>
        <v>5.11013558201058</v>
      </c>
      <c r="H171" s="2" t="n">
        <f aca="false">F171*0.5^(G171/4)</f>
        <v>0.0491071455811151</v>
      </c>
    </row>
    <row r="172" customFormat="false" ht="15" hidden="false" customHeight="false" outlineLevel="0" collapsed="false">
      <c r="A172" s="0" t="n">
        <v>2400480</v>
      </c>
      <c r="B172" s="0" t="s">
        <v>59</v>
      </c>
      <c r="C172" s="3" t="n">
        <v>43935.8220949074</v>
      </c>
      <c r="D172" s="0" t="n">
        <v>1114</v>
      </c>
      <c r="E172" s="0" t="n">
        <v>4500</v>
      </c>
      <c r="F172" s="2" t="n">
        <f aca="false">MIN(D172/E172,1)</f>
        <v>0.247555555555556</v>
      </c>
      <c r="G172" s="2" t="n">
        <f aca="false">(DATE(2020,5,18)-C172)/7</f>
        <v>4.73970072751323</v>
      </c>
      <c r="H172" s="2" t="n">
        <f aca="false">F172*0.5^(G172/4)</f>
        <v>0.108886654554185</v>
      </c>
    </row>
    <row r="173" customFormat="false" ht="15" hidden="false" customHeight="false" outlineLevel="0" collapsed="false">
      <c r="A173" s="0" t="n">
        <v>2400480</v>
      </c>
      <c r="B173" s="0" t="s">
        <v>59</v>
      </c>
      <c r="C173" s="3" t="n">
        <v>43936.2361574074</v>
      </c>
      <c r="D173" s="0" t="n">
        <v>788</v>
      </c>
      <c r="E173" s="0" t="n">
        <v>4200</v>
      </c>
      <c r="F173" s="2" t="n">
        <f aca="false">MIN(D173/E173,1)</f>
        <v>0.187619047619048</v>
      </c>
      <c r="G173" s="2" t="n">
        <f aca="false">(DATE(2020,5,18)-C173)/7</f>
        <v>4.68054894179894</v>
      </c>
      <c r="H173" s="2" t="n">
        <f aca="false">F173*0.5^(G173/4)</f>
        <v>0.0833739773879323</v>
      </c>
    </row>
    <row r="174" customFormat="false" ht="15" hidden="false" customHeight="false" outlineLevel="0" collapsed="false">
      <c r="A174" s="0" t="n">
        <v>2400480</v>
      </c>
      <c r="B174" s="0" t="s">
        <v>59</v>
      </c>
      <c r="C174" s="3" t="n">
        <v>43938.3771875</v>
      </c>
      <c r="D174" s="0" t="n">
        <v>411</v>
      </c>
      <c r="E174" s="0" t="n">
        <v>600</v>
      </c>
      <c r="F174" s="2" t="n">
        <f aca="false">MIN(D174/E174,1)</f>
        <v>0.685</v>
      </c>
      <c r="G174" s="2" t="n">
        <f aca="false">(DATE(2020,5,18)-C174)/7</f>
        <v>4.3746875</v>
      </c>
      <c r="H174" s="2" t="n">
        <f aca="false">F174*0.5^(G174/4)</f>
        <v>0.320968588001396</v>
      </c>
    </row>
    <row r="175" customFormat="false" ht="15" hidden="false" customHeight="false" outlineLevel="0" collapsed="false">
      <c r="A175" s="0" t="n">
        <v>2400480</v>
      </c>
      <c r="B175" s="0" t="s">
        <v>59</v>
      </c>
      <c r="C175" s="3" t="n">
        <v>43939.8212268519</v>
      </c>
      <c r="D175" s="0" t="n">
        <v>466</v>
      </c>
      <c r="E175" s="0" t="n">
        <v>3000</v>
      </c>
      <c r="F175" s="2" t="n">
        <f aca="false">MIN(D175/E175,1)</f>
        <v>0.155333333333333</v>
      </c>
      <c r="G175" s="2" t="n">
        <f aca="false">(DATE(2020,5,18)-C175)/7</f>
        <v>4.16839616402116</v>
      </c>
      <c r="H175" s="2" t="n">
        <f aca="false">F175*0.5^(G175/4)</f>
        <v>0.0754330368318175</v>
      </c>
    </row>
    <row r="176" customFormat="false" ht="15" hidden="false" customHeight="false" outlineLevel="0" collapsed="false">
      <c r="A176" s="0" t="n">
        <v>2400480</v>
      </c>
      <c r="B176" s="0" t="s">
        <v>59</v>
      </c>
      <c r="C176" s="3" t="n">
        <v>43942.8538888889</v>
      </c>
      <c r="D176" s="0" t="n">
        <v>524</v>
      </c>
      <c r="E176" s="0" t="n">
        <v>4500</v>
      </c>
      <c r="F176" s="2" t="n">
        <f aca="false">MIN(D176/E176,1)</f>
        <v>0.116444444444444</v>
      </c>
      <c r="G176" s="2" t="n">
        <f aca="false">(DATE(2020,5,18)-C176)/7</f>
        <v>3.73515873015873</v>
      </c>
      <c r="H176" s="2" t="n">
        <f aca="false">F176*0.5^(G176/4)</f>
        <v>0.0609565065116467</v>
      </c>
    </row>
    <row r="177" customFormat="false" ht="15" hidden="false" customHeight="false" outlineLevel="0" collapsed="false">
      <c r="A177" s="0" t="n">
        <v>2400480</v>
      </c>
      <c r="B177" s="0" t="s">
        <v>59</v>
      </c>
      <c r="C177" s="3" t="n">
        <v>43943.332337963</v>
      </c>
      <c r="D177" s="0" t="n">
        <v>26</v>
      </c>
      <c r="E177" s="0" t="n">
        <v>600</v>
      </c>
      <c r="F177" s="2" t="n">
        <f aca="false">MIN(D177/E177,1)</f>
        <v>0.0433333333333333</v>
      </c>
      <c r="G177" s="2" t="n">
        <f aca="false">(DATE(2020,5,18)-C177)/7</f>
        <v>3.66680886243386</v>
      </c>
      <c r="H177" s="2" t="n">
        <f aca="false">F177*0.5^(G177/4)</f>
        <v>0.0229544680911633</v>
      </c>
    </row>
    <row r="178" customFormat="false" ht="15" hidden="false" customHeight="false" outlineLevel="0" collapsed="false">
      <c r="A178" s="0" t="n">
        <v>2400480</v>
      </c>
      <c r="B178" s="0" t="s">
        <v>59</v>
      </c>
      <c r="C178" s="3" t="n">
        <v>43944.8022685185</v>
      </c>
      <c r="D178" s="0" t="n">
        <v>89</v>
      </c>
      <c r="E178" s="0" t="n">
        <v>3900</v>
      </c>
      <c r="F178" s="2" t="n">
        <f aca="false">MIN(D178/E178,1)</f>
        <v>0.0228205128205128</v>
      </c>
      <c r="G178" s="2" t="n">
        <f aca="false">(DATE(2020,5,18)-C178)/7</f>
        <v>3.45681878306878</v>
      </c>
      <c r="H178" s="2" t="n">
        <f aca="false">F178*0.5^(G178/4)</f>
        <v>0.0125364295313994</v>
      </c>
    </row>
    <row r="179" customFormat="false" ht="15" hidden="false" customHeight="false" outlineLevel="0" collapsed="false">
      <c r="A179" s="0" t="n">
        <v>2400480</v>
      </c>
      <c r="B179" s="0" t="s">
        <v>59</v>
      </c>
      <c r="C179" s="3" t="n">
        <v>43946.2384143519</v>
      </c>
      <c r="D179" s="0" t="n">
        <v>1901</v>
      </c>
      <c r="E179" s="0" t="n">
        <v>3600</v>
      </c>
      <c r="F179" s="2" t="n">
        <f aca="false">MIN(D179/E179,1)</f>
        <v>0.528055555555556</v>
      </c>
      <c r="G179" s="2" t="n">
        <f aca="false">(DATE(2020,5,18)-C179)/7</f>
        <v>3.25165509259259</v>
      </c>
      <c r="H179" s="2" t="n">
        <f aca="false">F179*0.5^(G179/4)</f>
        <v>0.300585610565754</v>
      </c>
    </row>
    <row r="180" customFormat="false" ht="15" hidden="false" customHeight="false" outlineLevel="0" collapsed="false">
      <c r="A180" s="0" t="n">
        <v>2400480</v>
      </c>
      <c r="B180" s="0" t="s">
        <v>59</v>
      </c>
      <c r="C180" s="3" t="n">
        <v>43948.2230555556</v>
      </c>
      <c r="D180" s="0" t="n">
        <v>430</v>
      </c>
      <c r="E180" s="0" t="n">
        <v>5400</v>
      </c>
      <c r="F180" s="2" t="n">
        <f aca="false">MIN(D180/E180,1)</f>
        <v>0.0796296296296296</v>
      </c>
      <c r="G180" s="2" t="n">
        <f aca="false">(DATE(2020,5,18)-C180)/7</f>
        <v>2.96813492063492</v>
      </c>
      <c r="H180" s="2" t="n">
        <f aca="false">F180*0.5^(G180/4)</f>
        <v>0.0476102306220202</v>
      </c>
    </row>
    <row r="181" customFormat="false" ht="15" hidden="false" customHeight="false" outlineLevel="0" collapsed="false">
      <c r="A181" s="0" t="n">
        <v>2400480</v>
      </c>
      <c r="B181" s="0" t="s">
        <v>59</v>
      </c>
      <c r="C181" s="3" t="n">
        <v>43948.8101851852</v>
      </c>
      <c r="D181" s="0" t="n">
        <v>340</v>
      </c>
      <c r="E181" s="0" t="n">
        <v>4500</v>
      </c>
      <c r="F181" s="2" t="n">
        <f aca="false">MIN(D181/E181,1)</f>
        <v>0.0755555555555556</v>
      </c>
      <c r="G181" s="2" t="n">
        <f aca="false">(DATE(2020,5,18)-C181)/7</f>
        <v>2.88425925925926</v>
      </c>
      <c r="H181" s="2" t="n">
        <f aca="false">F181*0.5^(G181/4)</f>
        <v>0.0458357418927041</v>
      </c>
    </row>
    <row r="182" customFormat="false" ht="15" hidden="false" customHeight="false" outlineLevel="0" collapsed="false">
      <c r="A182" s="0" t="n">
        <v>2400480</v>
      </c>
      <c r="B182" s="0" t="s">
        <v>59</v>
      </c>
      <c r="C182" s="3" t="n">
        <v>43949.8040046296</v>
      </c>
      <c r="D182" s="0" t="n">
        <v>454</v>
      </c>
      <c r="E182" s="0" t="n">
        <v>4500</v>
      </c>
      <c r="F182" s="2" t="n">
        <f aca="false">MIN(D182/E182,1)</f>
        <v>0.100888888888889</v>
      </c>
      <c r="G182" s="2" t="n">
        <f aca="false">(DATE(2020,5,18)-C182)/7</f>
        <v>2.74228505291005</v>
      </c>
      <c r="H182" s="2" t="n">
        <f aca="false">F182*0.5^(G182/4)</f>
        <v>0.0627286331895</v>
      </c>
    </row>
    <row r="183" customFormat="false" ht="15" hidden="false" customHeight="false" outlineLevel="0" collapsed="false">
      <c r="A183" s="0" t="n">
        <v>2400480</v>
      </c>
      <c r="B183" s="0" t="s">
        <v>59</v>
      </c>
      <c r="C183" s="3" t="n">
        <v>43950.6238194444</v>
      </c>
      <c r="D183" s="0" t="n">
        <v>1500</v>
      </c>
      <c r="E183" s="0" t="n">
        <v>1500</v>
      </c>
      <c r="F183" s="2" t="n">
        <f aca="false">MIN(D183/E183,1)</f>
        <v>1</v>
      </c>
      <c r="G183" s="2" t="n">
        <f aca="false">(DATE(2020,5,18)-C183)/7</f>
        <v>2.62516865079365</v>
      </c>
      <c r="H183" s="2" t="n">
        <f aca="false">F183*0.5^(G183/4)</f>
        <v>0.634506934887943</v>
      </c>
    </row>
    <row r="184" customFormat="false" ht="15" hidden="false" customHeight="false" outlineLevel="0" collapsed="false">
      <c r="A184" s="0" t="n">
        <v>2400480</v>
      </c>
      <c r="B184" s="0" t="s">
        <v>59</v>
      </c>
      <c r="C184" s="3" t="n">
        <v>43951.2922337963</v>
      </c>
      <c r="D184" s="0" t="n">
        <v>154</v>
      </c>
      <c r="E184" s="0" t="n">
        <v>600</v>
      </c>
      <c r="F184" s="2" t="n">
        <f aca="false">MIN(D184/E184,1)</f>
        <v>0.256666666666667</v>
      </c>
      <c r="G184" s="2" t="n">
        <f aca="false">(DATE(2020,5,18)-C184)/7</f>
        <v>2.52968088624339</v>
      </c>
      <c r="H184" s="2" t="n">
        <f aca="false">F184*0.5^(G184/4)</f>
        <v>0.16557395163285</v>
      </c>
    </row>
    <row r="185" customFormat="false" ht="15" hidden="false" customHeight="false" outlineLevel="0" collapsed="false">
      <c r="A185" s="0" t="n">
        <v>2400480</v>
      </c>
      <c r="B185" s="0" t="s">
        <v>59</v>
      </c>
      <c r="C185" s="3" t="n">
        <v>43951.8226851852</v>
      </c>
      <c r="D185" s="0" t="n">
        <v>348</v>
      </c>
      <c r="E185" s="0" t="n">
        <v>3900</v>
      </c>
      <c r="F185" s="2" t="n">
        <f aca="false">MIN(D185/E185,1)</f>
        <v>0.0892307692307692</v>
      </c>
      <c r="G185" s="2" t="n">
        <f aca="false">(DATE(2020,5,18)-C185)/7</f>
        <v>2.45390211640212</v>
      </c>
      <c r="H185" s="2" t="n">
        <f aca="false">F185*0.5^(G185/4)</f>
        <v>0.0583230330454542</v>
      </c>
    </row>
    <row r="186" customFormat="false" ht="15" hidden="false" customHeight="false" outlineLevel="0" collapsed="false">
      <c r="A186" s="0" t="n">
        <v>2400480</v>
      </c>
      <c r="B186" s="0" t="s">
        <v>59</v>
      </c>
      <c r="C186" s="3" t="n">
        <v>43952.374224537</v>
      </c>
      <c r="D186" s="0" t="n">
        <v>600</v>
      </c>
      <c r="E186" s="0" t="n">
        <v>600</v>
      </c>
      <c r="F186" s="2" t="n">
        <f aca="false">MIN(D186/E186,1)</f>
        <v>1</v>
      </c>
      <c r="G186" s="2" t="n">
        <f aca="false">(DATE(2020,5,18)-C186)/7</f>
        <v>2.37511078042328</v>
      </c>
      <c r="H186" s="2" t="n">
        <f aca="false">F186*0.5^(G186/4)</f>
        <v>0.662605601560828</v>
      </c>
    </row>
    <row r="187" customFormat="false" ht="15" hidden="false" customHeight="false" outlineLevel="0" collapsed="false">
      <c r="A187" s="0" t="n">
        <v>2400480</v>
      </c>
      <c r="B187" s="0" t="s">
        <v>59</v>
      </c>
      <c r="C187" s="3" t="n">
        <v>43954.8583564815</v>
      </c>
      <c r="D187" s="0" t="n">
        <v>706</v>
      </c>
      <c r="E187" s="0" t="n">
        <v>5400</v>
      </c>
      <c r="F187" s="2" t="n">
        <f aca="false">MIN(D187/E187,1)</f>
        <v>0.130740740740741</v>
      </c>
      <c r="G187" s="2" t="n">
        <f aca="false">(DATE(2020,5,18)-C187)/7</f>
        <v>2.02023478835979</v>
      </c>
      <c r="H187" s="2" t="n">
        <f aca="false">F187*0.5^(G187/4)</f>
        <v>0.0921240715236343</v>
      </c>
    </row>
    <row r="188" customFormat="false" ht="15" hidden="false" customHeight="false" outlineLevel="0" collapsed="false">
      <c r="A188" s="0" t="n">
        <v>2400480</v>
      </c>
      <c r="B188" s="0" t="s">
        <v>59</v>
      </c>
      <c r="C188" s="3" t="n">
        <v>43957.823912037</v>
      </c>
      <c r="D188" s="0" t="n">
        <v>2539</v>
      </c>
      <c r="E188" s="0" t="n">
        <v>4500</v>
      </c>
      <c r="F188" s="2" t="n">
        <f aca="false">MIN(D188/E188,1)</f>
        <v>0.564222222222222</v>
      </c>
      <c r="G188" s="2" t="n">
        <f aca="false">(DATE(2020,5,18)-C188)/7</f>
        <v>1.59658399470899</v>
      </c>
      <c r="H188" s="2" t="n">
        <f aca="false">F188*0.5^(G188/4)</f>
        <v>0.427853677150987</v>
      </c>
    </row>
    <row r="189" customFormat="false" ht="15" hidden="false" customHeight="false" outlineLevel="0" collapsed="false">
      <c r="A189" s="0" t="n">
        <v>2400480</v>
      </c>
      <c r="B189" s="0" t="s">
        <v>59</v>
      </c>
      <c r="C189" s="3" t="n">
        <v>43961.8736458333</v>
      </c>
      <c r="D189" s="0" t="n">
        <v>117</v>
      </c>
      <c r="E189" s="0" t="n">
        <v>5400</v>
      </c>
      <c r="F189" s="2" t="n">
        <f aca="false">MIN(D189/E189,1)</f>
        <v>0.0216666666666667</v>
      </c>
      <c r="G189" s="2" t="n">
        <f aca="false">(DATE(2020,5,18)-C189)/7</f>
        <v>1.0180505952381</v>
      </c>
      <c r="H189" s="2" t="n">
        <f aca="false">F189*0.5^(G189/4)</f>
        <v>0.0181625222925202</v>
      </c>
    </row>
    <row r="190" customFormat="false" ht="15" hidden="false" customHeight="false" outlineLevel="0" collapsed="false">
      <c r="A190" s="0" t="n">
        <v>2400480</v>
      </c>
      <c r="B190" s="0" t="s">
        <v>59</v>
      </c>
      <c r="C190" s="3" t="n">
        <v>43962.2117361111</v>
      </c>
      <c r="D190" s="0" t="n">
        <v>3277</v>
      </c>
      <c r="E190" s="0" t="n">
        <v>5400</v>
      </c>
      <c r="F190" s="2" t="n">
        <f aca="false">MIN(D190/E190,1)</f>
        <v>0.606851851851852</v>
      </c>
      <c r="G190" s="2" t="n">
        <f aca="false">(DATE(2020,5,18)-C190)/7</f>
        <v>0.969751984126984</v>
      </c>
      <c r="H190" s="2" t="n">
        <f aca="false">F190*0.5^(G190/4)</f>
        <v>0.512981345888192</v>
      </c>
    </row>
    <row r="191" customFormat="false" ht="15" hidden="false" customHeight="false" outlineLevel="0" collapsed="false">
      <c r="A191" s="0" t="n">
        <v>2400480</v>
      </c>
      <c r="B191" s="0" t="s">
        <v>59</v>
      </c>
      <c r="C191" s="3" t="n">
        <v>43963.8040162037</v>
      </c>
      <c r="D191" s="0" t="n">
        <v>3</v>
      </c>
      <c r="E191" s="0" t="n">
        <v>4500</v>
      </c>
      <c r="F191" s="2" t="n">
        <f aca="false">MIN(D191/E191,1)</f>
        <v>0.000666666666666667</v>
      </c>
      <c r="G191" s="2" t="n">
        <f aca="false">(DATE(2020,5,18)-C191)/7</f>
        <v>0.7422833994709</v>
      </c>
      <c r="H191" s="2" t="n">
        <f aca="false">F191*0.5^(G191/4)</f>
        <v>0.000586200721739999</v>
      </c>
    </row>
    <row r="192" customFormat="false" ht="15" hidden="false" customHeight="false" outlineLevel="0" collapsed="false">
      <c r="A192" s="0" t="n">
        <v>2400480</v>
      </c>
      <c r="B192" s="0" t="s">
        <v>59</v>
      </c>
      <c r="C192" s="3" t="n">
        <v>43965.8352199074</v>
      </c>
      <c r="D192" s="0" t="n">
        <v>397</v>
      </c>
      <c r="E192" s="0" t="n">
        <v>3900</v>
      </c>
      <c r="F192" s="2" t="n">
        <f aca="false">MIN(D192/E192,1)</f>
        <v>0.101794871794872</v>
      </c>
      <c r="G192" s="2" t="n">
        <f aca="false">(DATE(2020,5,18)-C192)/7</f>
        <v>0.452111441798942</v>
      </c>
      <c r="H192" s="2" t="n">
        <f aca="false">F192*0.5^(G192/4)</f>
        <v>0.0941241621628495</v>
      </c>
    </row>
    <row r="193" customFormat="false" ht="15" hidden="false" customHeight="false" outlineLevel="0" collapsed="false">
      <c r="A193" s="0" t="n">
        <v>2400480</v>
      </c>
      <c r="B193" s="0" t="s">
        <v>59</v>
      </c>
      <c r="C193" s="3" t="n">
        <v>43966.4644907407</v>
      </c>
      <c r="D193" s="0" t="n">
        <v>1200</v>
      </c>
      <c r="E193" s="0" t="n">
        <v>1200</v>
      </c>
      <c r="F193" s="2" t="n">
        <f aca="false">MIN(D193/E193,1)</f>
        <v>1</v>
      </c>
      <c r="G193" s="2" t="n">
        <f aca="false">(DATE(2020,5,18)-C193)/7</f>
        <v>0.362215608465608</v>
      </c>
      <c r="H193" s="2" t="n">
        <f aca="false">F193*0.5^(G193/4)</f>
        <v>0.939162102135821</v>
      </c>
    </row>
    <row r="194" customFormat="false" ht="15" hidden="false" customHeight="false" outlineLevel="0" collapsed="false">
      <c r="A194" s="0" t="n">
        <v>2400508</v>
      </c>
      <c r="B194" s="0" t="s">
        <v>34</v>
      </c>
      <c r="C194" s="3" t="n">
        <v>43903.3196759259</v>
      </c>
      <c r="D194" s="0" t="n">
        <v>465</v>
      </c>
      <c r="E194" s="0" t="n">
        <v>900</v>
      </c>
      <c r="F194" s="2" t="n">
        <f aca="false">MIN(D194/E194,1)</f>
        <v>0.516666666666667</v>
      </c>
      <c r="G194" s="2" t="n">
        <f aca="false">(DATE(2020,5,18)-C194)/7</f>
        <v>9.38290343915344</v>
      </c>
      <c r="H194" s="2" t="n">
        <f aca="false">F194*0.5^(G194/4)</f>
        <v>0.101642794804472</v>
      </c>
    </row>
    <row r="195" customFormat="false" ht="15" hidden="false" customHeight="false" outlineLevel="0" collapsed="false">
      <c r="A195" s="0" t="n">
        <v>2400508</v>
      </c>
      <c r="B195" s="0" t="s">
        <v>34</v>
      </c>
      <c r="C195" s="3" t="n">
        <v>43908.2867824074</v>
      </c>
      <c r="D195" s="0" t="n">
        <v>600</v>
      </c>
      <c r="E195" s="0" t="n">
        <v>600</v>
      </c>
      <c r="F195" s="2" t="n">
        <f aca="false">MIN(D195/E195,1)</f>
        <v>1</v>
      </c>
      <c r="G195" s="2" t="n">
        <f aca="false">(DATE(2020,5,18)-C195)/7</f>
        <v>8.6733167989418</v>
      </c>
      <c r="H195" s="2" t="n">
        <f aca="false">F195*0.5^(G195/4)</f>
        <v>0.222468163874717</v>
      </c>
    </row>
    <row r="196" customFormat="false" ht="15" hidden="false" customHeight="false" outlineLevel="0" collapsed="false">
      <c r="A196" s="0" t="n">
        <v>2400508</v>
      </c>
      <c r="B196" s="0" t="s">
        <v>34</v>
      </c>
      <c r="C196" s="3" t="n">
        <v>43908.7859143519</v>
      </c>
      <c r="D196" s="0" t="n">
        <v>2688</v>
      </c>
      <c r="E196" s="0" t="n">
        <v>4200</v>
      </c>
      <c r="F196" s="2" t="n">
        <f aca="false">MIN(D196/E196,1)</f>
        <v>0.64</v>
      </c>
      <c r="G196" s="2" t="n">
        <f aca="false">(DATE(2020,5,18)-C196)/7</f>
        <v>8.60201223544974</v>
      </c>
      <c r="H196" s="2" t="n">
        <f aca="false">F196*0.5^(G196/4)</f>
        <v>0.144149801106763</v>
      </c>
    </row>
    <row r="197" customFormat="false" ht="15" hidden="false" customHeight="false" outlineLevel="0" collapsed="false">
      <c r="A197" s="0" t="n">
        <v>2400508</v>
      </c>
      <c r="B197" s="0" t="s">
        <v>34</v>
      </c>
      <c r="C197" s="3" t="n">
        <v>43909.320625</v>
      </c>
      <c r="D197" s="0" t="n">
        <v>84</v>
      </c>
      <c r="E197" s="0" t="n">
        <v>900</v>
      </c>
      <c r="F197" s="2" t="n">
        <f aca="false">MIN(D197/E197,1)</f>
        <v>0.0933333333333333</v>
      </c>
      <c r="G197" s="2" t="n">
        <f aca="false">(DATE(2020,5,18)-C197)/7</f>
        <v>8.525625</v>
      </c>
      <c r="H197" s="2" t="n">
        <f aca="false">F197*0.5^(G197/4)</f>
        <v>0.0213019598812318</v>
      </c>
    </row>
    <row r="198" customFormat="false" ht="15" hidden="false" customHeight="false" outlineLevel="0" collapsed="false">
      <c r="A198" s="0" t="n">
        <v>2400508</v>
      </c>
      <c r="B198" s="0" t="s">
        <v>34</v>
      </c>
      <c r="C198" s="3" t="n">
        <v>43911.2897800926</v>
      </c>
      <c r="D198" s="0" t="n">
        <v>1800</v>
      </c>
      <c r="E198" s="0" t="n">
        <v>1800</v>
      </c>
      <c r="F198" s="2" t="n">
        <f aca="false">MIN(D198/E198,1)</f>
        <v>1</v>
      </c>
      <c r="G198" s="2" t="n">
        <f aca="false">(DATE(2020,5,18)-C198)/7</f>
        <v>8.24431712962963</v>
      </c>
      <c r="H198" s="2" t="n">
        <f aca="false">F198*0.5^(G198/4)</f>
        <v>0.239636690176334</v>
      </c>
    </row>
    <row r="199" customFormat="false" ht="15" hidden="false" customHeight="false" outlineLevel="0" collapsed="false">
      <c r="A199" s="0" t="n">
        <v>2400508</v>
      </c>
      <c r="B199" s="0" t="s">
        <v>34</v>
      </c>
      <c r="C199" s="3" t="n">
        <v>43915.8050462963</v>
      </c>
      <c r="D199" s="0" t="n">
        <v>1895</v>
      </c>
      <c r="E199" s="0" t="n">
        <v>4200</v>
      </c>
      <c r="F199" s="2" t="n">
        <f aca="false">MIN(D199/E199,1)</f>
        <v>0.451190476190476</v>
      </c>
      <c r="G199" s="2" t="n">
        <f aca="false">(DATE(2020,5,18)-C199)/7</f>
        <v>7.5992791005291</v>
      </c>
      <c r="H199" s="2" t="n">
        <f aca="false">F199*0.5^(G199/4)</f>
        <v>0.120908597976404</v>
      </c>
    </row>
    <row r="200" customFormat="false" ht="15" hidden="false" customHeight="false" outlineLevel="0" collapsed="false">
      <c r="A200" s="0" t="n">
        <v>2400508</v>
      </c>
      <c r="B200" s="0" t="s">
        <v>34</v>
      </c>
      <c r="C200" s="3" t="n">
        <v>43919.2860763889</v>
      </c>
      <c r="D200" s="0" t="n">
        <v>686</v>
      </c>
      <c r="E200" s="0" t="n">
        <v>3600</v>
      </c>
      <c r="F200" s="2" t="n">
        <f aca="false">MIN(D200/E200,1)</f>
        <v>0.190555555555556</v>
      </c>
      <c r="G200" s="2" t="n">
        <f aca="false">(DATE(2020,5,18)-C200)/7</f>
        <v>7.10198908730159</v>
      </c>
      <c r="H200" s="2" t="n">
        <f aca="false">F200*0.5^(G200/4)</f>
        <v>0.0556600611207486</v>
      </c>
    </row>
    <row r="201" customFormat="false" ht="15" hidden="false" customHeight="false" outlineLevel="0" collapsed="false">
      <c r="A201" s="0" t="n">
        <v>2400508</v>
      </c>
      <c r="B201" s="0" t="s">
        <v>34</v>
      </c>
      <c r="C201" s="3" t="n">
        <v>43920.6256712963</v>
      </c>
      <c r="D201" s="0" t="n">
        <v>532</v>
      </c>
      <c r="E201" s="0" t="n">
        <v>1800</v>
      </c>
      <c r="F201" s="2" t="n">
        <f aca="false">MIN(D201/E201,1)</f>
        <v>0.295555555555556</v>
      </c>
      <c r="G201" s="2" t="n">
        <f aca="false">(DATE(2020,5,18)-C201)/7</f>
        <v>6.91061838624339</v>
      </c>
      <c r="H201" s="2" t="n">
        <f aca="false">F201*0.5^(G201/4)</f>
        <v>0.0892407623170026</v>
      </c>
    </row>
    <row r="202" customFormat="false" ht="15" hidden="false" customHeight="false" outlineLevel="0" collapsed="false">
      <c r="A202" s="0" t="n">
        <v>2400508</v>
      </c>
      <c r="B202" s="0" t="s">
        <v>34</v>
      </c>
      <c r="C202" s="3" t="n">
        <v>43921.8362268519</v>
      </c>
      <c r="D202" s="0" t="n">
        <v>75</v>
      </c>
      <c r="E202" s="0" t="n">
        <v>4200</v>
      </c>
      <c r="F202" s="2" t="n">
        <f aca="false">MIN(D202/E202,1)</f>
        <v>0.0178571428571429</v>
      </c>
      <c r="G202" s="2" t="n">
        <f aca="false">(DATE(2020,5,18)-C202)/7</f>
        <v>6.73768187830688</v>
      </c>
      <c r="H202" s="2" t="n">
        <f aca="false">F202*0.5^(G202/4)</f>
        <v>0.00555585479022787</v>
      </c>
    </row>
    <row r="203" customFormat="false" ht="15" hidden="false" customHeight="false" outlineLevel="0" collapsed="false">
      <c r="A203" s="0" t="n">
        <v>2400508</v>
      </c>
      <c r="B203" s="0" t="s">
        <v>34</v>
      </c>
      <c r="C203" s="3" t="n">
        <v>43923.3379513889</v>
      </c>
      <c r="D203" s="0" t="n">
        <v>501</v>
      </c>
      <c r="E203" s="0" t="n">
        <v>900</v>
      </c>
      <c r="F203" s="2" t="n">
        <f aca="false">MIN(D203/E203,1)</f>
        <v>0.556666666666667</v>
      </c>
      <c r="G203" s="2" t="n">
        <f aca="false">(DATE(2020,5,18)-C203)/7</f>
        <v>6.5231498015873</v>
      </c>
      <c r="H203" s="2" t="n">
        <f aca="false">F203*0.5^(G203/4)</f>
        <v>0.179754295502281</v>
      </c>
    </row>
    <row r="204" customFormat="false" ht="15" hidden="false" customHeight="false" outlineLevel="0" collapsed="false">
      <c r="A204" s="0" t="n">
        <v>2400508</v>
      </c>
      <c r="B204" s="0" t="s">
        <v>34</v>
      </c>
      <c r="C204" s="3" t="n">
        <v>43928.3592824074</v>
      </c>
      <c r="D204" s="0" t="n">
        <v>427</v>
      </c>
      <c r="E204" s="0" t="n">
        <v>1800</v>
      </c>
      <c r="F204" s="2" t="n">
        <f aca="false">MIN(D204/E204,1)</f>
        <v>0.237222222222222</v>
      </c>
      <c r="G204" s="2" t="n">
        <f aca="false">(DATE(2020,5,18)-C204)/7</f>
        <v>5.8058167989418</v>
      </c>
      <c r="H204" s="2" t="n">
        <f aca="false">F204*0.5^(G204/4)</f>
        <v>0.0867409388494158</v>
      </c>
    </row>
    <row r="205" customFormat="false" ht="15" hidden="false" customHeight="false" outlineLevel="0" collapsed="false">
      <c r="A205" s="0" t="n">
        <v>2400508</v>
      </c>
      <c r="B205" s="0" t="s">
        <v>34</v>
      </c>
      <c r="C205" s="3" t="n">
        <v>43929.3171990741</v>
      </c>
      <c r="D205" s="0" t="n">
        <v>21</v>
      </c>
      <c r="E205" s="0" t="n">
        <v>900</v>
      </c>
      <c r="F205" s="2" t="n">
        <f aca="false">MIN(D205/E205,1)</f>
        <v>0.0233333333333333</v>
      </c>
      <c r="G205" s="2" t="n">
        <f aca="false">(DATE(2020,5,18)-C205)/7</f>
        <v>5.66897156084656</v>
      </c>
      <c r="H205" s="2" t="n">
        <f aca="false">F205*0.5^(G205/4)</f>
        <v>0.00873663443886833</v>
      </c>
    </row>
    <row r="206" customFormat="false" ht="15" hidden="false" customHeight="false" outlineLevel="0" collapsed="false">
      <c r="A206" s="0" t="n">
        <v>2400508</v>
      </c>
      <c r="B206" s="0" t="s">
        <v>34</v>
      </c>
      <c r="C206" s="3" t="n">
        <v>43929.3945833333</v>
      </c>
      <c r="D206" s="0" t="n">
        <v>108</v>
      </c>
      <c r="E206" s="0" t="n">
        <v>1800</v>
      </c>
      <c r="F206" s="2" t="n">
        <f aca="false">MIN(D206/E206,1)</f>
        <v>0.06</v>
      </c>
      <c r="G206" s="2" t="n">
        <f aca="false">(DATE(2020,5,18)-C206)/7</f>
        <v>5.65791666666667</v>
      </c>
      <c r="H206" s="2" t="n">
        <f aca="false">F206*0.5^(G206/4)</f>
        <v>0.0225087093353855</v>
      </c>
    </row>
    <row r="207" customFormat="false" ht="15" hidden="false" customHeight="false" outlineLevel="0" collapsed="false">
      <c r="A207" s="0" t="n">
        <v>2400508</v>
      </c>
      <c r="B207" s="0" t="s">
        <v>34</v>
      </c>
      <c r="C207" s="3" t="n">
        <v>43931.3437268519</v>
      </c>
      <c r="D207" s="0" t="n">
        <v>2</v>
      </c>
      <c r="E207" s="0" t="n">
        <v>900</v>
      </c>
      <c r="F207" s="2" t="n">
        <f aca="false">MIN(D207/E207,1)</f>
        <v>0.00222222222222222</v>
      </c>
      <c r="G207" s="2" t="n">
        <f aca="false">(DATE(2020,5,18)-C207)/7</f>
        <v>5.37946759259259</v>
      </c>
      <c r="H207" s="2" t="n">
        <f aca="false">F207*0.5^(G207/4)</f>
        <v>0.00087486735144786</v>
      </c>
    </row>
    <row r="208" customFormat="false" ht="15" hidden="false" customHeight="false" outlineLevel="0" collapsed="false">
      <c r="A208" s="0" t="n">
        <v>2400508</v>
      </c>
      <c r="B208" s="0" t="s">
        <v>34</v>
      </c>
      <c r="C208" s="3" t="n">
        <v>43932.2750462963</v>
      </c>
      <c r="D208" s="0" t="n">
        <v>1800</v>
      </c>
      <c r="E208" s="0" t="n">
        <v>1800</v>
      </c>
      <c r="F208" s="2" t="n">
        <f aca="false">MIN(D208/E208,1)</f>
        <v>1</v>
      </c>
      <c r="G208" s="2" t="n">
        <f aca="false">(DATE(2020,5,18)-C208)/7</f>
        <v>5.24642195767196</v>
      </c>
      <c r="H208" s="2" t="n">
        <f aca="false">F208*0.5^(G208/4)</f>
        <v>0.402872297462935</v>
      </c>
    </row>
    <row r="209" customFormat="false" ht="15" hidden="false" customHeight="false" outlineLevel="0" collapsed="false">
      <c r="A209" s="0" t="n">
        <v>2400508</v>
      </c>
      <c r="B209" s="0" t="s">
        <v>34</v>
      </c>
      <c r="C209" s="3" t="n">
        <v>43935.6269675926</v>
      </c>
      <c r="D209" s="0" t="n">
        <v>498</v>
      </c>
      <c r="E209" s="0" t="n">
        <v>1800</v>
      </c>
      <c r="F209" s="2" t="n">
        <f aca="false">MIN(D209/E209,1)</f>
        <v>0.276666666666667</v>
      </c>
      <c r="G209" s="2" t="n">
        <f aca="false">(DATE(2020,5,18)-C209)/7</f>
        <v>4.76757605820106</v>
      </c>
      <c r="H209" s="2" t="n">
        <f aca="false">F209*0.5^(G209/4)</f>
        <v>0.12110469705773</v>
      </c>
    </row>
    <row r="210" customFormat="false" ht="15" hidden="false" customHeight="false" outlineLevel="0" collapsed="false">
      <c r="A210" s="0" t="n">
        <v>2400508</v>
      </c>
      <c r="B210" s="0" t="s">
        <v>34</v>
      </c>
      <c r="C210" s="3" t="n">
        <v>43935.8024074074</v>
      </c>
      <c r="D210" s="0" t="n">
        <v>365</v>
      </c>
      <c r="E210" s="0" t="n">
        <v>4200</v>
      </c>
      <c r="F210" s="2" t="n">
        <f aca="false">MIN(D210/E210,1)</f>
        <v>0.0869047619047619</v>
      </c>
      <c r="G210" s="2" t="n">
        <f aca="false">(DATE(2020,5,18)-C210)/7</f>
        <v>4.74251322751323</v>
      </c>
      <c r="H210" s="2" t="n">
        <f aca="false">F210*0.5^(G210/4)</f>
        <v>0.038206203976531</v>
      </c>
    </row>
    <row r="211" customFormat="false" ht="15" hidden="false" customHeight="false" outlineLevel="0" collapsed="false">
      <c r="A211" s="0" t="n">
        <v>2400508</v>
      </c>
      <c r="B211" s="0" t="s">
        <v>34</v>
      </c>
      <c r="C211" s="3" t="n">
        <v>43937.3393402778</v>
      </c>
      <c r="D211" s="0" t="n">
        <v>379</v>
      </c>
      <c r="E211" s="0" t="n">
        <v>900</v>
      </c>
      <c r="F211" s="2" t="n">
        <f aca="false">MIN(D211/E211,1)</f>
        <v>0.421111111111111</v>
      </c>
      <c r="G211" s="2" t="n">
        <f aca="false">(DATE(2020,5,18)-C211)/7</f>
        <v>4.52295138888889</v>
      </c>
      <c r="H211" s="2" t="n">
        <f aca="false">F211*0.5^(G211/4)</f>
        <v>0.19231390713715</v>
      </c>
    </row>
    <row r="212" customFormat="false" ht="15" hidden="false" customHeight="false" outlineLevel="0" collapsed="false">
      <c r="A212" s="0" t="n">
        <v>2400508</v>
      </c>
      <c r="B212" s="0" t="s">
        <v>34</v>
      </c>
      <c r="C212" s="3" t="n">
        <v>43938.3547453704</v>
      </c>
      <c r="D212" s="0" t="n">
        <v>142</v>
      </c>
      <c r="E212" s="0" t="n">
        <v>1800</v>
      </c>
      <c r="F212" s="2" t="n">
        <f aca="false">MIN(D212/E212,1)</f>
        <v>0.0788888888888889</v>
      </c>
      <c r="G212" s="2" t="n">
        <f aca="false">(DATE(2020,5,18)-C212)/7</f>
        <v>4.37789351851852</v>
      </c>
      <c r="H212" s="2" t="n">
        <f aca="false">F212*0.5^(G212/4)</f>
        <v>0.0369442217680648</v>
      </c>
    </row>
    <row r="213" customFormat="false" ht="15" hidden="false" customHeight="false" outlineLevel="0" collapsed="false">
      <c r="A213" s="0" t="n">
        <v>2400508</v>
      </c>
      <c r="B213" s="0" t="s">
        <v>34</v>
      </c>
      <c r="C213" s="3" t="n">
        <v>43943.3437152778</v>
      </c>
      <c r="D213" s="0" t="n">
        <v>3</v>
      </c>
      <c r="E213" s="0" t="n">
        <v>900</v>
      </c>
      <c r="F213" s="2" t="n">
        <f aca="false">MIN(D213/E213,1)</f>
        <v>0.00333333333333333</v>
      </c>
      <c r="G213" s="2" t="n">
        <f aca="false">(DATE(2020,5,18)-C213)/7</f>
        <v>3.66518353174603</v>
      </c>
      <c r="H213" s="2" t="n">
        <f aca="false">F213*0.5^(G213/4)</f>
        <v>0.00176622569920455</v>
      </c>
    </row>
    <row r="214" customFormat="false" ht="15" hidden="false" customHeight="false" outlineLevel="0" collapsed="false">
      <c r="A214" s="0" t="n">
        <v>2400508</v>
      </c>
      <c r="B214" s="0" t="s">
        <v>34</v>
      </c>
      <c r="C214" s="3" t="n">
        <v>43944.3386805556</v>
      </c>
      <c r="D214" s="0" t="n">
        <v>438</v>
      </c>
      <c r="E214" s="0" t="n">
        <v>900</v>
      </c>
      <c r="F214" s="2" t="n">
        <f aca="false">MIN(D214/E214,1)</f>
        <v>0.486666666666667</v>
      </c>
      <c r="G214" s="2" t="n">
        <f aca="false">(DATE(2020,5,18)-C214)/7</f>
        <v>3.52304563492064</v>
      </c>
      <c r="H214" s="2" t="n">
        <f aca="false">F214*0.5^(G214/4)</f>
        <v>0.264299290941329</v>
      </c>
    </row>
    <row r="215" customFormat="false" ht="15" hidden="false" customHeight="false" outlineLevel="0" collapsed="false">
      <c r="A215" s="0" t="n">
        <v>2400508</v>
      </c>
      <c r="B215" s="0" t="s">
        <v>34</v>
      </c>
      <c r="C215" s="3" t="n">
        <v>43945.3331365741</v>
      </c>
      <c r="D215" s="0" t="n">
        <v>900</v>
      </c>
      <c r="E215" s="0" t="n">
        <v>900</v>
      </c>
      <c r="F215" s="2" t="n">
        <f aca="false">MIN(D215/E215,1)</f>
        <v>1</v>
      </c>
      <c r="G215" s="2" t="n">
        <f aca="false">(DATE(2020,5,18)-C215)/7</f>
        <v>3.38098048941799</v>
      </c>
      <c r="H215" s="2" t="n">
        <f aca="false">F215*0.5^(G215/4)</f>
        <v>0.556616228715698</v>
      </c>
    </row>
    <row r="216" customFormat="false" ht="15" hidden="false" customHeight="false" outlineLevel="0" collapsed="false">
      <c r="A216" s="0" t="n">
        <v>2400508</v>
      </c>
      <c r="B216" s="0" t="s">
        <v>34</v>
      </c>
      <c r="C216" s="3" t="n">
        <v>43951.2940162037</v>
      </c>
      <c r="D216" s="0" t="n">
        <v>397</v>
      </c>
      <c r="E216" s="0" t="n">
        <v>600</v>
      </c>
      <c r="F216" s="2" t="n">
        <f aca="false">MIN(D216/E216,1)</f>
        <v>0.661666666666667</v>
      </c>
      <c r="G216" s="2" t="n">
        <f aca="false">(DATE(2020,5,18)-C216)/7</f>
        <v>2.52942625661376</v>
      </c>
      <c r="H216" s="2" t="n">
        <f aca="false">F216*0.5^(G216/4)</f>
        <v>0.426855579582908</v>
      </c>
    </row>
    <row r="217" customFormat="false" ht="15" hidden="false" customHeight="false" outlineLevel="0" collapsed="false">
      <c r="A217" s="0" t="n">
        <v>2400508</v>
      </c>
      <c r="B217" s="0" t="s">
        <v>34</v>
      </c>
      <c r="C217" s="3" t="n">
        <v>43954.8663194445</v>
      </c>
      <c r="D217" s="0" t="n">
        <v>174</v>
      </c>
      <c r="E217" s="0" t="n">
        <v>7200</v>
      </c>
      <c r="F217" s="2" t="n">
        <f aca="false">MIN(D217/E217,1)</f>
        <v>0.0241666666666667</v>
      </c>
      <c r="G217" s="2" t="n">
        <f aca="false">(DATE(2020,5,18)-C217)/7</f>
        <v>2.01909722222222</v>
      </c>
      <c r="H217" s="2" t="n">
        <f aca="false">F217*0.5^(G217/4)</f>
        <v>0.0170319567198082</v>
      </c>
    </row>
    <row r="218" customFormat="false" ht="15" hidden="false" customHeight="false" outlineLevel="0" collapsed="false">
      <c r="A218" s="0" t="n">
        <v>2400508</v>
      </c>
      <c r="B218" s="0" t="s">
        <v>34</v>
      </c>
      <c r="C218" s="3" t="n">
        <v>43959.3956365741</v>
      </c>
      <c r="D218" s="0" t="n">
        <v>17</v>
      </c>
      <c r="E218" s="0" t="n">
        <v>1800</v>
      </c>
      <c r="F218" s="2" t="n">
        <f aca="false">MIN(D218/E218,1)</f>
        <v>0.00944444444444445</v>
      </c>
      <c r="G218" s="2" t="n">
        <f aca="false">(DATE(2020,5,18)-C218)/7</f>
        <v>1.37205191798942</v>
      </c>
      <c r="H218" s="2" t="n">
        <f aca="false">F218*0.5^(G218/4)</f>
        <v>0.00744593465470834</v>
      </c>
    </row>
    <row r="219" customFormat="false" ht="15" hidden="false" customHeight="false" outlineLevel="0" collapsed="false">
      <c r="A219" s="0" t="n">
        <v>2400508</v>
      </c>
      <c r="B219" s="0" t="s">
        <v>34</v>
      </c>
      <c r="C219" s="3" t="n">
        <v>43962.7340740741</v>
      </c>
      <c r="D219" s="0" t="n">
        <v>14</v>
      </c>
      <c r="E219" s="0" t="n">
        <v>4200</v>
      </c>
      <c r="F219" s="2" t="n">
        <f aca="false">MIN(D219/E219,1)</f>
        <v>0.00333333333333333</v>
      </c>
      <c r="G219" s="2" t="n">
        <f aca="false">(DATE(2020,5,18)-C219)/7</f>
        <v>0.895132275132275</v>
      </c>
      <c r="H219" s="2" t="n">
        <f aca="false">F219*0.5^(G219/4)</f>
        <v>0.00285439011733744</v>
      </c>
    </row>
    <row r="220" customFormat="false" ht="15" hidden="false" customHeight="false" outlineLevel="0" collapsed="false">
      <c r="A220" s="0" t="n">
        <v>2400508</v>
      </c>
      <c r="B220" s="0" t="s">
        <v>34</v>
      </c>
      <c r="C220" s="3" t="n">
        <v>43963.8125347222</v>
      </c>
      <c r="D220" s="0" t="n">
        <v>530</v>
      </c>
      <c r="E220" s="0" t="n">
        <v>4200</v>
      </c>
      <c r="F220" s="2" t="n">
        <f aca="false">MIN(D220/E220,1)</f>
        <v>0.126190476190476</v>
      </c>
      <c r="G220" s="2" t="n">
        <f aca="false">(DATE(2020,5,18)-C220)/7</f>
        <v>0.741066468253968</v>
      </c>
      <c r="H220" s="2" t="n">
        <f aca="false">F220*0.5^(G220/4)</f>
        <v>0.110982823710011</v>
      </c>
    </row>
    <row r="221" customFormat="false" ht="15" hidden="false" customHeight="false" outlineLevel="0" collapsed="false">
      <c r="A221" s="0" t="n">
        <v>2400508</v>
      </c>
      <c r="B221" s="0" t="s">
        <v>34</v>
      </c>
      <c r="C221" s="3" t="n">
        <v>43965.3377199074</v>
      </c>
      <c r="D221" s="0" t="n">
        <v>521</v>
      </c>
      <c r="E221" s="0" t="n">
        <v>900</v>
      </c>
      <c r="F221" s="2" t="n">
        <f aca="false">MIN(D221/E221,1)</f>
        <v>0.578888888888889</v>
      </c>
      <c r="G221" s="2" t="n">
        <f aca="false">(DATE(2020,5,18)-C221)/7</f>
        <v>0.52318287037037</v>
      </c>
      <c r="H221" s="2" t="n">
        <f aca="false">F221*0.5^(G221/4)</f>
        <v>0.528715179877557</v>
      </c>
    </row>
    <row r="222" customFormat="false" ht="15" hidden="false" customHeight="false" outlineLevel="0" collapsed="false">
      <c r="A222" s="0" t="n">
        <v>5200303</v>
      </c>
      <c r="B222" s="0" t="s">
        <v>39</v>
      </c>
      <c r="C222" s="3" t="n">
        <v>43899.2253472222</v>
      </c>
      <c r="D222" s="0" t="n">
        <v>3703</v>
      </c>
      <c r="E222" s="0" t="n">
        <v>5400</v>
      </c>
      <c r="F222" s="2" t="n">
        <f aca="false">MIN(D222/E222,1)</f>
        <v>0.685740740740741</v>
      </c>
      <c r="G222" s="2" t="n">
        <f aca="false">(DATE(2020,5,18)-C222)/7</f>
        <v>9.96780753968254</v>
      </c>
      <c r="H222" s="2" t="n">
        <f aca="false">F222*0.5^(G222/4)</f>
        <v>0.1219011175517</v>
      </c>
    </row>
    <row r="223" customFormat="false" ht="15" hidden="false" customHeight="false" outlineLevel="0" collapsed="false">
      <c r="A223" s="0" t="n">
        <v>5200303</v>
      </c>
      <c r="B223" s="0" t="s">
        <v>39</v>
      </c>
      <c r="C223" s="3" t="n">
        <v>43899.9176157407</v>
      </c>
      <c r="D223" s="0" t="n">
        <v>82</v>
      </c>
      <c r="E223" s="0" t="n">
        <v>6300</v>
      </c>
      <c r="F223" s="2" t="n">
        <f aca="false">MIN(D223/E223,1)</f>
        <v>0.013015873015873</v>
      </c>
      <c r="G223" s="2" t="n">
        <f aca="false">(DATE(2020,5,18)-C223)/7</f>
        <v>9.86891203703704</v>
      </c>
      <c r="H223" s="2" t="n">
        <f aca="false">F223*0.5^(G223/4)</f>
        <v>0.0023537680638318</v>
      </c>
    </row>
    <row r="224" customFormat="false" ht="15" hidden="false" customHeight="false" outlineLevel="0" collapsed="false">
      <c r="A224" s="0" t="n">
        <v>5200303</v>
      </c>
      <c r="B224" s="0" t="s">
        <v>39</v>
      </c>
      <c r="C224" s="3" t="n">
        <v>43906.9360069444</v>
      </c>
      <c r="D224" s="0" t="n">
        <v>1193</v>
      </c>
      <c r="E224" s="0" t="n">
        <v>6300</v>
      </c>
      <c r="F224" s="2" t="n">
        <f aca="false">MIN(D224/E224,1)</f>
        <v>0.189365079365079</v>
      </c>
      <c r="G224" s="2" t="n">
        <f aca="false">(DATE(2020,5,18)-C224)/7</f>
        <v>8.86628472222222</v>
      </c>
      <c r="H224" s="2" t="n">
        <f aca="false">F224*0.5^(G224/4)</f>
        <v>0.0407422942802253</v>
      </c>
    </row>
    <row r="225" customFormat="false" ht="15" hidden="false" customHeight="false" outlineLevel="0" collapsed="false">
      <c r="A225" s="0" t="n">
        <v>5200303</v>
      </c>
      <c r="B225" s="0" t="s">
        <v>39</v>
      </c>
      <c r="C225" s="3" t="n">
        <v>43907.2507291667</v>
      </c>
      <c r="D225" s="0" t="n">
        <v>2891</v>
      </c>
      <c r="E225" s="0" t="n">
        <v>5700</v>
      </c>
      <c r="F225" s="2" t="n">
        <f aca="false">MIN(D225/E225,1)</f>
        <v>0.50719298245614</v>
      </c>
      <c r="G225" s="2" t="n">
        <f aca="false">(DATE(2020,5,18)-C225)/7</f>
        <v>8.82132440476191</v>
      </c>
      <c r="H225" s="2" t="n">
        <f aca="false">F225*0.5^(G225/4)</f>
        <v>0.10997714067868</v>
      </c>
    </row>
    <row r="226" customFormat="false" ht="15" hidden="false" customHeight="false" outlineLevel="0" collapsed="false">
      <c r="A226" s="0" t="n">
        <v>5200303</v>
      </c>
      <c r="B226" s="0" t="s">
        <v>39</v>
      </c>
      <c r="C226" s="3" t="n">
        <v>43908.2492476852</v>
      </c>
      <c r="D226" s="0" t="n">
        <v>3243</v>
      </c>
      <c r="E226" s="0" t="n">
        <v>5700</v>
      </c>
      <c r="F226" s="2" t="n">
        <f aca="false">MIN(D226/E226,1)</f>
        <v>0.568947368421053</v>
      </c>
      <c r="G226" s="2" t="n">
        <f aca="false">(DATE(2020,5,18)-C226)/7</f>
        <v>8.6786789021164</v>
      </c>
      <c r="H226" s="2" t="n">
        <f aca="false">F226*0.5^(G226/4)</f>
        <v>0.126455122005756</v>
      </c>
    </row>
    <row r="227" customFormat="false" ht="15" hidden="false" customHeight="false" outlineLevel="0" collapsed="false">
      <c r="A227" s="0" t="n">
        <v>5200303</v>
      </c>
      <c r="B227" s="0" t="s">
        <v>39</v>
      </c>
      <c r="C227" s="3" t="n">
        <v>43910.2292592593</v>
      </c>
      <c r="D227" s="0" t="n">
        <v>2493</v>
      </c>
      <c r="E227" s="0" t="n">
        <v>5700</v>
      </c>
      <c r="F227" s="2" t="n">
        <f aca="false">MIN(D227/E227,1)</f>
        <v>0.437368421052632</v>
      </c>
      <c r="G227" s="2" t="n">
        <f aca="false">(DATE(2020,5,18)-C227)/7</f>
        <v>8.39582010582011</v>
      </c>
      <c r="H227" s="2" t="n">
        <f aca="false">F227*0.5^(G227/4)</f>
        <v>0.102093713365939</v>
      </c>
    </row>
    <row r="228" customFormat="false" ht="15" hidden="false" customHeight="false" outlineLevel="0" collapsed="false">
      <c r="A228" s="0" t="n">
        <v>5200303</v>
      </c>
      <c r="B228" s="0" t="s">
        <v>39</v>
      </c>
      <c r="C228" s="3" t="n">
        <v>43914.2308101852</v>
      </c>
      <c r="D228" s="0" t="n">
        <v>626</v>
      </c>
      <c r="E228" s="0" t="n">
        <v>5400</v>
      </c>
      <c r="F228" s="2" t="n">
        <f aca="false">MIN(D228/E228,1)</f>
        <v>0.115925925925926</v>
      </c>
      <c r="G228" s="2" t="n">
        <f aca="false">(DATE(2020,5,18)-C228)/7</f>
        <v>7.82416997354497</v>
      </c>
      <c r="H228" s="2" t="n">
        <f aca="false">F228*0.5^(G228/4)</f>
        <v>0.0298781091912515</v>
      </c>
    </row>
    <row r="229" customFormat="false" ht="15" hidden="false" customHeight="false" outlineLevel="0" collapsed="false">
      <c r="A229" s="0" t="n">
        <v>5200303</v>
      </c>
      <c r="B229" s="0" t="s">
        <v>39</v>
      </c>
      <c r="C229" s="3" t="n">
        <v>43914.9143402778</v>
      </c>
      <c r="D229" s="0" t="n">
        <v>278</v>
      </c>
      <c r="E229" s="0" t="n">
        <v>6300</v>
      </c>
      <c r="F229" s="2" t="n">
        <f aca="false">MIN(D229/E229,1)</f>
        <v>0.0441269841269841</v>
      </c>
      <c r="G229" s="2" t="n">
        <f aca="false">(DATE(2020,5,18)-C229)/7</f>
        <v>7.72652281746032</v>
      </c>
      <c r="H229" s="2" t="n">
        <f aca="false">F229*0.5^(G229/4)</f>
        <v>0.0115671259348505</v>
      </c>
    </row>
    <row r="230" customFormat="false" ht="15" hidden="false" customHeight="false" outlineLevel="0" collapsed="false">
      <c r="A230" s="0" t="n">
        <v>5200303</v>
      </c>
      <c r="B230" s="0" t="s">
        <v>39</v>
      </c>
      <c r="C230" s="3" t="n">
        <v>43916.9137268519</v>
      </c>
      <c r="D230" s="0" t="n">
        <v>1605</v>
      </c>
      <c r="E230" s="0" t="n">
        <v>6300</v>
      </c>
      <c r="F230" s="2" t="n">
        <f aca="false">MIN(D230/E230,1)</f>
        <v>0.254761904761905</v>
      </c>
      <c r="G230" s="2" t="n">
        <f aca="false">(DATE(2020,5,18)-C230)/7</f>
        <v>7.44089616402116</v>
      </c>
      <c r="H230" s="2" t="n">
        <f aca="false">F230*0.5^(G230/4)</f>
        <v>0.0701699637691183</v>
      </c>
    </row>
    <row r="231" customFormat="false" ht="15" hidden="false" customHeight="false" outlineLevel="0" collapsed="false">
      <c r="A231" s="0" t="n">
        <v>5200303</v>
      </c>
      <c r="B231" s="0" t="s">
        <v>39</v>
      </c>
      <c r="C231" s="3" t="n">
        <v>43922.9257175926</v>
      </c>
      <c r="D231" s="0" t="n">
        <v>1121</v>
      </c>
      <c r="E231" s="0" t="n">
        <v>6600</v>
      </c>
      <c r="F231" s="2" t="n">
        <f aca="false">MIN(D231/E231,1)</f>
        <v>0.169848484848485</v>
      </c>
      <c r="G231" s="2" t="n">
        <f aca="false">(DATE(2020,5,18)-C231)/7</f>
        <v>6.58204034391534</v>
      </c>
      <c r="H231" s="2" t="n">
        <f aca="false">F231*0.5^(G231/4)</f>
        <v>0.0542892426295562</v>
      </c>
    </row>
    <row r="232" customFormat="false" ht="15" hidden="false" customHeight="false" outlineLevel="0" collapsed="false">
      <c r="A232" s="0" t="n">
        <v>5200303</v>
      </c>
      <c r="B232" s="0" t="s">
        <v>39</v>
      </c>
      <c r="C232" s="3" t="n">
        <v>43927.9333217593</v>
      </c>
      <c r="D232" s="0" t="n">
        <v>96</v>
      </c>
      <c r="E232" s="0" t="n">
        <v>6600</v>
      </c>
      <c r="F232" s="2" t="n">
        <f aca="false">MIN(D232/E232,1)</f>
        <v>0.0145454545454545</v>
      </c>
      <c r="G232" s="2" t="n">
        <f aca="false">(DATE(2020,5,18)-C232)/7</f>
        <v>5.86666832010582</v>
      </c>
      <c r="H232" s="2" t="n">
        <f aca="false">F232*0.5^(G232/4)</f>
        <v>0.00526279571916383</v>
      </c>
    </row>
    <row r="233" customFormat="false" ht="15" hidden="false" customHeight="false" outlineLevel="0" collapsed="false">
      <c r="A233" s="0" t="n">
        <v>5200303</v>
      </c>
      <c r="B233" s="0" t="s">
        <v>39</v>
      </c>
      <c r="C233" s="3" t="n">
        <v>43931.9436342593</v>
      </c>
      <c r="D233" s="0" t="n">
        <v>206</v>
      </c>
      <c r="E233" s="0" t="n">
        <v>6300</v>
      </c>
      <c r="F233" s="2" t="n">
        <f aca="false">MIN(D233/E233,1)</f>
        <v>0.0326984126984127</v>
      </c>
      <c r="G233" s="2" t="n">
        <f aca="false">(DATE(2020,5,18)-C233)/7</f>
        <v>5.29376653439153</v>
      </c>
      <c r="H233" s="2" t="n">
        <f aca="false">F233*0.5^(G233/4)</f>
        <v>0.0130656506460868</v>
      </c>
    </row>
    <row r="234" customFormat="false" ht="15" hidden="false" customHeight="false" outlineLevel="0" collapsed="false">
      <c r="A234" s="0" t="n">
        <v>5200303</v>
      </c>
      <c r="B234" s="0" t="s">
        <v>39</v>
      </c>
      <c r="C234" s="3" t="n">
        <v>43935.2459490741</v>
      </c>
      <c r="D234" s="0" t="n">
        <v>3458</v>
      </c>
      <c r="E234" s="0" t="n">
        <v>5400</v>
      </c>
      <c r="F234" s="2" t="n">
        <f aca="false">MIN(D234/E234,1)</f>
        <v>0.64037037037037</v>
      </c>
      <c r="G234" s="2" t="n">
        <f aca="false">(DATE(2020,5,18)-C234)/7</f>
        <v>4.82200727513227</v>
      </c>
      <c r="H234" s="2" t="n">
        <f aca="false">F234*0.5^(G234/4)</f>
        <v>0.277676433020633</v>
      </c>
    </row>
    <row r="235" customFormat="false" ht="15" hidden="false" customHeight="false" outlineLevel="0" collapsed="false">
      <c r="A235" s="0" t="n">
        <v>5200303</v>
      </c>
      <c r="B235" s="0" t="s">
        <v>39</v>
      </c>
      <c r="C235" s="3" t="n">
        <v>43937.2886226852</v>
      </c>
      <c r="D235" s="0" t="n">
        <v>177</v>
      </c>
      <c r="E235" s="0" t="n">
        <v>5400</v>
      </c>
      <c r="F235" s="2" t="n">
        <f aca="false">MIN(D235/E235,1)</f>
        <v>0.0327777777777778</v>
      </c>
      <c r="G235" s="2" t="n">
        <f aca="false">(DATE(2020,5,18)-C235)/7</f>
        <v>4.53019675925926</v>
      </c>
      <c r="H235" s="2" t="n">
        <f aca="false">F235*0.5^(G235/4)</f>
        <v>0.0149502422129118</v>
      </c>
    </row>
    <row r="236" customFormat="false" ht="15" hidden="false" customHeight="false" outlineLevel="0" collapsed="false">
      <c r="A236" s="0" t="n">
        <v>5200303</v>
      </c>
      <c r="B236" s="0" t="s">
        <v>39</v>
      </c>
      <c r="C236" s="3" t="n">
        <v>43943.2797569444</v>
      </c>
      <c r="D236" s="0" t="n">
        <v>791</v>
      </c>
      <c r="E236" s="0" t="n">
        <v>5700</v>
      </c>
      <c r="F236" s="2" t="n">
        <f aca="false">MIN(D236/E236,1)</f>
        <v>0.138771929824561</v>
      </c>
      <c r="G236" s="2" t="n">
        <f aca="false">(DATE(2020,5,18)-C236)/7</f>
        <v>3.67432043650794</v>
      </c>
      <c r="H236" s="2" t="n">
        <f aca="false">F236*0.5^(G236/4)</f>
        <v>0.073414435128988</v>
      </c>
    </row>
    <row r="237" customFormat="false" ht="15" hidden="false" customHeight="false" outlineLevel="0" collapsed="false">
      <c r="A237" s="0" t="n">
        <v>5200303</v>
      </c>
      <c r="B237" s="0" t="s">
        <v>39</v>
      </c>
      <c r="C237" s="3" t="n">
        <v>43943.9852893519</v>
      </c>
      <c r="D237" s="0" t="n">
        <v>458</v>
      </c>
      <c r="E237" s="0" t="n">
        <v>6000</v>
      </c>
      <c r="F237" s="2" t="n">
        <f aca="false">MIN(D237/E237,1)</f>
        <v>0.0763333333333333</v>
      </c>
      <c r="G237" s="2" t="n">
        <f aca="false">(DATE(2020,5,18)-C237)/7</f>
        <v>3.57353009259259</v>
      </c>
      <c r="H237" s="2" t="n">
        <f aca="false">F237*0.5^(G237/4)</f>
        <v>0.0410940826960313</v>
      </c>
    </row>
    <row r="238" customFormat="false" ht="15" hidden="false" customHeight="false" outlineLevel="0" collapsed="false">
      <c r="A238" s="0" t="n">
        <v>5200303</v>
      </c>
      <c r="B238" s="0" t="s">
        <v>39</v>
      </c>
      <c r="C238" s="3" t="n">
        <v>43949.235787037</v>
      </c>
      <c r="D238" s="0" t="n">
        <v>3449</v>
      </c>
      <c r="E238" s="0" t="n">
        <v>5700</v>
      </c>
      <c r="F238" s="2" t="n">
        <f aca="false">MIN(D238/E238,1)</f>
        <v>0.605087719298246</v>
      </c>
      <c r="G238" s="2" t="n">
        <f aca="false">(DATE(2020,5,18)-C238)/7</f>
        <v>2.82345899470899</v>
      </c>
      <c r="H238" s="2" t="n">
        <f aca="false">F238*0.5^(G238/4)</f>
        <v>0.370964094534715</v>
      </c>
    </row>
    <row r="239" customFormat="false" ht="15" hidden="false" customHeight="false" outlineLevel="0" collapsed="false">
      <c r="A239" s="0" t="n">
        <v>5200303</v>
      </c>
      <c r="B239" s="0" t="s">
        <v>39</v>
      </c>
      <c r="C239" s="3" t="n">
        <v>43952.2290972222</v>
      </c>
      <c r="D239" s="0" t="n">
        <v>4412</v>
      </c>
      <c r="E239" s="0" t="n">
        <v>5100</v>
      </c>
      <c r="F239" s="2" t="n">
        <f aca="false">MIN(D239/E239,1)</f>
        <v>0.865098039215686</v>
      </c>
      <c r="G239" s="2" t="n">
        <f aca="false">(DATE(2020,5,18)-C239)/7</f>
        <v>2.39584325396825</v>
      </c>
      <c r="H239" s="2" t="n">
        <f aca="false">F239*0.5^(G239/4)</f>
        <v>0.571163119080779</v>
      </c>
    </row>
    <row r="240" customFormat="false" ht="15" hidden="false" customHeight="false" outlineLevel="0" collapsed="false">
      <c r="A240" s="0" t="n">
        <v>5200303</v>
      </c>
      <c r="B240" s="0" t="s">
        <v>39</v>
      </c>
      <c r="C240" s="3" t="n">
        <v>43958.254849537</v>
      </c>
      <c r="D240" s="0" t="n">
        <v>1584</v>
      </c>
      <c r="E240" s="0" t="n">
        <v>5400</v>
      </c>
      <c r="F240" s="2" t="n">
        <f aca="false">MIN(D240/E240,1)</f>
        <v>0.293333333333333</v>
      </c>
      <c r="G240" s="2" t="n">
        <f aca="false">(DATE(2020,5,18)-C240)/7</f>
        <v>1.53502149470899</v>
      </c>
      <c r="H240" s="2" t="n">
        <f aca="false">F240*0.5^(G240/4)</f>
        <v>0.22482237894123</v>
      </c>
    </row>
    <row r="241" customFormat="false" ht="15" hidden="false" customHeight="false" outlineLevel="0" collapsed="false">
      <c r="A241" s="0" t="n">
        <v>5200303</v>
      </c>
      <c r="B241" s="0" t="s">
        <v>39</v>
      </c>
      <c r="C241" s="3" t="n">
        <v>43958.97375</v>
      </c>
      <c r="D241" s="0" t="n">
        <v>1289</v>
      </c>
      <c r="E241" s="0" t="n">
        <v>6300</v>
      </c>
      <c r="F241" s="2" t="n">
        <f aca="false">MIN(D241/E241,1)</f>
        <v>0.204603174603175</v>
      </c>
      <c r="G241" s="2" t="n">
        <f aca="false">(DATE(2020,5,18)-C241)/7</f>
        <v>1.43232142857143</v>
      </c>
      <c r="H241" s="2" t="n">
        <f aca="false">F241*0.5^(G241/4)</f>
        <v>0.159631810581273</v>
      </c>
    </row>
    <row r="242" customFormat="false" ht="15" hidden="false" customHeight="false" outlineLevel="0" collapsed="false">
      <c r="A242" s="0" t="n">
        <v>5200303</v>
      </c>
      <c r="B242" s="0" t="s">
        <v>39</v>
      </c>
      <c r="C242" s="3" t="n">
        <v>43964.2580671296</v>
      </c>
      <c r="D242" s="0" t="n">
        <v>1279</v>
      </c>
      <c r="E242" s="0" t="n">
        <v>5400</v>
      </c>
      <c r="F242" s="2" t="n">
        <f aca="false">MIN(D242/E242,1)</f>
        <v>0.236851851851852</v>
      </c>
      <c r="G242" s="2" t="n">
        <f aca="false">(DATE(2020,5,18)-C242)/7</f>
        <v>0.677418981481482</v>
      </c>
      <c r="H242" s="2" t="n">
        <f aca="false">F242*0.5^(G242/4)</f>
        <v>0.210618214326609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2026-10-25T10:57:39Z</dcterms:created>
  <dc:creator>openpyxl</dc:creator>
  <dc:description/>
  <dc:language>en-US</dc:language>
  <cp:lastModifiedBy/>
  <dcterms:modified xsi:type="dcterms:W3CDTF">2026-10-25T12:30:40Z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